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heckCompatibility="1"/>
  <mc:AlternateContent xmlns:mc="http://schemas.openxmlformats.org/markup-compatibility/2006">
    <mc:Choice Requires="x15">
      <x15ac:absPath xmlns:x15ac="http://schemas.microsoft.com/office/spreadsheetml/2010/11/ac" url="E:\Phaeton\내 문서\삼국지 문서\삼국지 능력표\"/>
    </mc:Choice>
  </mc:AlternateContent>
  <xr:revisionPtr revIDLastSave="0" documentId="13_ncr:1_{3D2550E8-EDFE-4F5A-9978-B7CF478B71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삼국지장수" sheetId="8" r:id="rId1"/>
    <sheet name="수호전장수" sheetId="9" r:id="rId2"/>
    <sheet name="매뉴얼" sheetId="13" r:id="rId3"/>
    <sheet name="보물" sheetId="11" r:id="rId4"/>
    <sheet name="방문" sheetId="12" r:id="rId5"/>
  </sheets>
  <definedNames>
    <definedName name="_xlnm._FilterDatabase" localSheetId="4" hidden="1">방문!$A$1:$B$1</definedName>
    <definedName name="_xlnm._FilterDatabase" localSheetId="3" hidden="1">보물!$A$1:$D$1</definedName>
    <definedName name="_xlnm._FilterDatabase" localSheetId="0" hidden="1">삼국지장수!$A$1:$AF$388</definedName>
    <definedName name="_xlnm._FilterDatabase" localSheetId="1" hidden="1">수호전장수!$A$1:$AH$1</definedName>
  </definedNames>
  <calcPr calcId="191029"/>
</workbook>
</file>

<file path=xl/calcChain.xml><?xml version="1.0" encoding="utf-8"?>
<calcChain xmlns="http://schemas.openxmlformats.org/spreadsheetml/2006/main">
  <c r="AE53" i="8" l="1"/>
  <c r="AG118" i="9"/>
  <c r="AG117" i="9"/>
  <c r="AG116" i="9"/>
  <c r="AG115" i="9"/>
  <c r="AG114" i="9"/>
  <c r="AG113" i="9"/>
  <c r="AG112" i="9"/>
  <c r="AG111" i="9"/>
  <c r="AG110" i="9"/>
  <c r="AG109" i="9"/>
  <c r="AG108" i="9"/>
  <c r="AG107" i="9"/>
  <c r="AG106" i="9"/>
  <c r="AG105" i="9"/>
  <c r="AG104" i="9"/>
  <c r="AG103" i="9"/>
  <c r="AG102" i="9"/>
  <c r="AG95" i="9"/>
  <c r="AG94" i="9"/>
  <c r="AG93" i="9"/>
  <c r="AG91" i="9"/>
  <c r="AG90" i="9"/>
  <c r="AG99" i="9"/>
  <c r="AG98" i="9"/>
  <c r="AG97" i="9"/>
  <c r="AG96" i="9"/>
  <c r="AG89" i="9"/>
  <c r="AG88" i="9"/>
  <c r="AG87" i="9"/>
  <c r="AG86" i="9"/>
  <c r="AG85" i="9"/>
  <c r="AG84" i="9"/>
  <c r="AG83" i="9"/>
  <c r="AG82" i="9"/>
  <c r="AG81" i="9"/>
  <c r="AG80" i="9"/>
  <c r="AG79" i="9"/>
  <c r="AG78" i="9"/>
  <c r="AG77" i="9"/>
  <c r="AG76" i="9"/>
  <c r="AG75" i="9"/>
  <c r="AG74" i="9"/>
  <c r="AG73" i="9"/>
  <c r="AG66" i="9"/>
  <c r="AG65" i="9"/>
  <c r="AG63" i="9"/>
  <c r="AG62" i="9"/>
  <c r="AG61" i="9"/>
  <c r="AG59" i="9"/>
  <c r="AG58" i="9"/>
  <c r="AG57" i="9"/>
  <c r="AG55" i="9"/>
  <c r="AG72" i="9"/>
  <c r="AG71" i="9"/>
  <c r="AG70" i="9"/>
  <c r="AG69" i="9"/>
  <c r="AG68" i="9"/>
  <c r="AG67" i="9"/>
  <c r="AG48" i="9"/>
  <c r="AG47" i="9"/>
  <c r="AG46" i="9"/>
  <c r="AG45" i="9"/>
  <c r="AG43" i="9"/>
  <c r="AG53" i="9"/>
  <c r="AG52" i="9"/>
  <c r="AG51" i="9"/>
  <c r="AG50" i="9"/>
  <c r="AG49" i="9"/>
  <c r="AG42" i="9"/>
  <c r="AG41" i="9"/>
  <c r="AG40" i="9"/>
  <c r="AG39" i="9"/>
  <c r="AG38" i="9"/>
  <c r="AG37" i="9"/>
  <c r="AG23" i="9"/>
  <c r="AG22" i="9"/>
  <c r="AG21" i="9"/>
  <c r="AG30" i="9"/>
  <c r="AG29" i="9"/>
  <c r="AG27" i="9"/>
  <c r="AG26" i="9"/>
  <c r="AG25" i="9"/>
  <c r="AG36" i="9"/>
  <c r="AG34" i="9"/>
  <c r="AG33" i="9"/>
  <c r="AG32" i="9"/>
  <c r="AG31" i="9"/>
  <c r="AG18" i="9"/>
  <c r="AG16" i="9"/>
  <c r="AG15" i="9"/>
  <c r="AG11" i="9"/>
  <c r="AG12" i="9"/>
  <c r="AG60" i="9"/>
  <c r="AG64" i="9"/>
  <c r="AG17" i="9"/>
  <c r="AG92" i="9"/>
  <c r="AG101" i="9"/>
  <c r="AG100" i="9"/>
  <c r="AG54" i="9"/>
  <c r="AG19" i="9"/>
  <c r="AG44" i="9"/>
  <c r="AG56" i="9"/>
  <c r="AG35" i="9"/>
  <c r="AG7" i="9"/>
  <c r="AG28" i="9"/>
  <c r="AG20" i="9"/>
  <c r="AG13" i="9"/>
  <c r="AG10" i="9"/>
  <c r="AG9" i="9"/>
  <c r="AG5" i="9"/>
  <c r="AG8" i="9"/>
  <c r="AG3" i="9"/>
  <c r="AG24" i="9"/>
  <c r="AG6" i="9"/>
  <c r="AG14" i="9"/>
  <c r="AG2" i="9"/>
  <c r="AG4" i="9"/>
  <c r="AE388" i="8"/>
  <c r="AE387" i="8"/>
  <c r="AE386" i="8"/>
  <c r="AE385" i="8"/>
  <c r="AE384" i="8"/>
  <c r="AE383" i="8"/>
  <c r="AE382" i="8"/>
  <c r="AE381" i="8"/>
  <c r="AE380" i="8"/>
  <c r="AE379" i="8"/>
  <c r="AE378" i="8"/>
  <c r="AE377" i="8"/>
  <c r="AE376" i="8"/>
  <c r="AE375" i="8"/>
  <c r="AE374" i="8"/>
  <c r="AE373" i="8"/>
  <c r="AE372" i="8"/>
  <c r="AE371" i="8"/>
  <c r="AE370" i="8"/>
  <c r="AE369" i="8"/>
  <c r="AE368" i="8"/>
  <c r="AE367" i="8"/>
  <c r="AE366" i="8"/>
  <c r="AE365" i="8"/>
  <c r="AE364" i="8"/>
  <c r="AE363" i="8"/>
  <c r="AE362" i="8"/>
  <c r="AE361" i="8"/>
  <c r="AE360" i="8"/>
  <c r="AE359" i="8"/>
  <c r="AE358" i="8"/>
  <c r="AE357" i="8"/>
  <c r="AE356" i="8"/>
  <c r="AE355" i="8"/>
  <c r="AE354" i="8"/>
  <c r="AE353" i="8"/>
  <c r="AE352" i="8"/>
  <c r="AE351" i="8"/>
  <c r="AE350" i="8"/>
  <c r="AE349" i="8"/>
  <c r="AE348" i="8"/>
  <c r="AE347" i="8"/>
  <c r="AE346" i="8"/>
  <c r="AE345" i="8"/>
  <c r="AE344" i="8"/>
  <c r="AE343" i="8"/>
  <c r="AE342" i="8"/>
  <c r="AE341" i="8"/>
  <c r="AE340" i="8"/>
  <c r="AE339" i="8"/>
  <c r="AE338" i="8"/>
  <c r="AE337" i="8"/>
  <c r="AE336" i="8"/>
  <c r="AE335" i="8"/>
  <c r="AE334" i="8"/>
  <c r="AE333" i="8"/>
  <c r="AE332" i="8"/>
  <c r="AE331" i="8"/>
  <c r="AE330" i="8"/>
  <c r="AE329" i="8"/>
  <c r="AE328" i="8"/>
  <c r="AE327" i="8"/>
  <c r="AE326" i="8"/>
  <c r="AE325" i="8"/>
  <c r="AE324" i="8"/>
  <c r="AE323" i="8"/>
  <c r="AE322" i="8"/>
  <c r="AE321" i="8"/>
  <c r="AE320" i="8"/>
  <c r="AE319" i="8"/>
  <c r="AE318" i="8"/>
  <c r="AE317" i="8"/>
  <c r="AE316" i="8"/>
  <c r="AE315" i="8"/>
  <c r="AE314" i="8"/>
  <c r="AE313" i="8"/>
  <c r="AE312" i="8"/>
  <c r="AE311" i="8"/>
  <c r="AE310" i="8"/>
  <c r="AE309" i="8"/>
  <c r="AE308" i="8"/>
  <c r="AE307" i="8"/>
  <c r="AE306" i="8"/>
  <c r="AE305" i="8"/>
  <c r="AE304" i="8"/>
  <c r="AE303" i="8"/>
  <c r="AE302" i="8"/>
  <c r="AE301" i="8"/>
  <c r="AE300" i="8"/>
  <c r="AE299" i="8"/>
  <c r="AE298" i="8"/>
  <c r="AE297" i="8"/>
  <c r="AE296" i="8"/>
  <c r="AE295" i="8"/>
  <c r="AE294" i="8"/>
  <c r="AE293" i="8"/>
  <c r="AE292" i="8"/>
  <c r="AE291" i="8"/>
  <c r="AE290" i="8"/>
  <c r="AE289" i="8"/>
  <c r="AE288" i="8"/>
  <c r="AE287" i="8"/>
  <c r="AE286" i="8"/>
  <c r="AE285" i="8"/>
  <c r="AE284" i="8"/>
  <c r="AE283" i="8"/>
  <c r="AE282" i="8"/>
  <c r="AE281" i="8"/>
  <c r="AE280" i="8"/>
  <c r="AE279" i="8"/>
  <c r="AE278" i="8"/>
  <c r="AE277" i="8"/>
  <c r="AE276" i="8"/>
  <c r="AE275" i="8"/>
  <c r="AE274" i="8"/>
  <c r="AE273" i="8"/>
  <c r="AE272" i="8"/>
  <c r="AE271" i="8"/>
  <c r="AE270" i="8"/>
  <c r="AE269" i="8"/>
  <c r="AE268" i="8"/>
  <c r="AE267" i="8"/>
  <c r="AE266" i="8"/>
  <c r="AE265" i="8"/>
  <c r="AE264" i="8"/>
  <c r="AE263" i="8"/>
  <c r="AE262" i="8"/>
  <c r="AE261" i="8"/>
  <c r="AE260" i="8"/>
  <c r="AE259" i="8"/>
  <c r="AE258" i="8"/>
  <c r="AE257" i="8"/>
  <c r="AE256" i="8"/>
  <c r="AE255" i="8"/>
  <c r="AE254" i="8"/>
  <c r="AE252" i="8"/>
  <c r="AE253" i="8"/>
  <c r="AE251" i="8"/>
  <c r="AE250" i="8"/>
  <c r="AE249" i="8"/>
  <c r="AE248" i="8"/>
  <c r="AE247" i="8"/>
  <c r="AE246" i="8"/>
  <c r="AE245" i="8"/>
  <c r="AE244" i="8"/>
  <c r="AE243" i="8"/>
  <c r="AE242" i="8"/>
  <c r="AE241" i="8"/>
  <c r="AE240" i="8"/>
  <c r="AE239" i="8"/>
  <c r="AE238" i="8"/>
  <c r="AE237" i="8"/>
  <c r="AE236" i="8"/>
  <c r="AE235" i="8"/>
  <c r="AE234" i="8"/>
  <c r="AE233" i="8"/>
  <c r="AE232" i="8"/>
  <c r="AE231" i="8"/>
  <c r="AE230" i="8"/>
  <c r="AE229" i="8"/>
  <c r="AE228" i="8"/>
  <c r="AE227" i="8"/>
  <c r="AE226" i="8"/>
  <c r="AE225" i="8"/>
  <c r="AE224" i="8"/>
  <c r="AE223" i="8"/>
  <c r="AE222" i="8"/>
  <c r="AE221" i="8"/>
  <c r="AE220" i="8"/>
  <c r="AE219" i="8"/>
  <c r="AE218" i="8"/>
  <c r="AE217" i="8"/>
  <c r="AE216" i="8"/>
  <c r="AE215" i="8"/>
  <c r="AE214" i="8"/>
  <c r="AE213" i="8"/>
  <c r="AE212" i="8"/>
  <c r="AE211" i="8"/>
  <c r="AE210" i="8"/>
  <c r="AE209" i="8"/>
  <c r="AE208" i="8"/>
  <c r="AE207" i="8"/>
  <c r="AE206" i="8"/>
  <c r="AE205" i="8"/>
  <c r="AE204" i="8"/>
  <c r="AE203" i="8"/>
  <c r="AE202" i="8"/>
  <c r="AE201" i="8"/>
  <c r="AE200" i="8"/>
  <c r="AE199" i="8"/>
  <c r="AE198" i="8"/>
  <c r="AE197" i="8"/>
  <c r="AE196" i="8"/>
  <c r="AE195" i="8"/>
  <c r="AE194" i="8"/>
  <c r="AE193" i="8"/>
  <c r="AE192" i="8"/>
  <c r="AE191" i="8"/>
  <c r="AE190" i="8"/>
  <c r="AE189" i="8"/>
  <c r="AE188" i="8"/>
  <c r="AE187" i="8"/>
  <c r="AE186" i="8"/>
  <c r="AE185" i="8"/>
  <c r="AE184" i="8"/>
  <c r="AE183" i="8"/>
  <c r="AE182" i="8"/>
  <c r="AE181" i="8"/>
  <c r="AE180" i="8"/>
  <c r="AE179" i="8"/>
  <c r="AE178" i="8"/>
  <c r="AE177" i="8"/>
  <c r="AE176" i="8"/>
  <c r="AE175" i="8"/>
  <c r="AE174" i="8"/>
  <c r="AE173" i="8"/>
  <c r="AE172" i="8"/>
  <c r="AE171" i="8"/>
  <c r="AE170" i="8"/>
  <c r="AE169" i="8"/>
  <c r="AE168" i="8"/>
  <c r="AE167" i="8"/>
  <c r="AE166" i="8"/>
  <c r="AE165" i="8"/>
  <c r="AE164" i="8"/>
  <c r="AE163" i="8"/>
  <c r="AE162" i="8"/>
  <c r="AE161" i="8"/>
  <c r="AE160" i="8"/>
  <c r="AE159" i="8"/>
  <c r="AE158" i="8"/>
  <c r="AE157" i="8"/>
  <c r="AE156" i="8"/>
  <c r="AE155" i="8"/>
  <c r="AE154" i="8"/>
  <c r="AE153" i="8"/>
  <c r="AE152" i="8"/>
  <c r="AE151" i="8"/>
  <c r="AE150" i="8"/>
  <c r="AE149" i="8"/>
  <c r="AE148" i="8"/>
  <c r="AE147" i="8"/>
  <c r="AE146" i="8"/>
  <c r="AE145" i="8"/>
  <c r="AE144" i="8"/>
  <c r="AE143" i="8"/>
  <c r="AE142" i="8"/>
  <c r="AE141" i="8"/>
  <c r="AE140" i="8"/>
  <c r="AE139" i="8"/>
  <c r="AE138" i="8"/>
  <c r="AE137" i="8"/>
  <c r="AE136" i="8"/>
  <c r="AE135" i="8"/>
  <c r="AE134" i="8"/>
  <c r="AE133" i="8"/>
  <c r="AE132" i="8"/>
  <c r="AE131" i="8"/>
  <c r="AE130" i="8"/>
  <c r="AE129" i="8"/>
  <c r="AE128" i="8"/>
  <c r="AE127" i="8"/>
  <c r="AE126" i="8"/>
  <c r="AE125" i="8"/>
  <c r="AE124" i="8"/>
  <c r="AE123" i="8"/>
  <c r="AE122" i="8"/>
  <c r="AE121" i="8"/>
  <c r="AE120" i="8"/>
  <c r="AE119" i="8"/>
  <c r="AE118" i="8"/>
  <c r="AE117" i="8"/>
  <c r="AE116" i="8"/>
  <c r="AE115" i="8"/>
  <c r="AE114" i="8"/>
  <c r="AE113" i="8"/>
  <c r="AE112" i="8"/>
  <c r="AE111" i="8"/>
  <c r="AE110" i="8"/>
  <c r="AE109" i="8"/>
  <c r="AE108" i="8"/>
  <c r="AE107" i="8"/>
  <c r="AE106" i="8"/>
  <c r="AE105" i="8"/>
  <c r="AE104" i="8"/>
  <c r="AE103" i="8"/>
  <c r="AE102" i="8"/>
  <c r="AE101" i="8"/>
  <c r="AE100" i="8"/>
  <c r="AE99" i="8"/>
  <c r="AE98" i="8"/>
  <c r="AE97" i="8"/>
  <c r="AE96" i="8"/>
  <c r="AE95" i="8"/>
  <c r="AE94" i="8"/>
  <c r="AE93" i="8"/>
  <c r="AE92" i="8"/>
  <c r="AE91" i="8"/>
  <c r="AE90" i="8"/>
  <c r="AE89" i="8"/>
  <c r="AE88" i="8"/>
  <c r="AE87" i="8"/>
  <c r="AE86" i="8"/>
  <c r="AE85" i="8"/>
  <c r="AE84" i="8"/>
  <c r="AE83" i="8"/>
  <c r="AE82" i="8"/>
  <c r="AE81" i="8"/>
  <c r="AE80" i="8"/>
  <c r="AE79" i="8"/>
  <c r="AE78" i="8"/>
  <c r="AE77" i="8"/>
  <c r="AE76" i="8"/>
  <c r="AE75" i="8"/>
  <c r="AE74" i="8"/>
  <c r="AE73" i="8"/>
  <c r="AE72" i="8"/>
  <c r="AE71" i="8"/>
  <c r="AE70" i="8"/>
  <c r="AE69" i="8"/>
  <c r="AE68" i="8"/>
  <c r="AE67" i="8"/>
  <c r="AE66" i="8"/>
  <c r="AE65" i="8"/>
  <c r="AE64" i="8"/>
  <c r="AE63" i="8"/>
  <c r="AE62" i="8"/>
  <c r="AE61" i="8"/>
  <c r="AE60" i="8"/>
  <c r="AE59" i="8"/>
  <c r="AE58" i="8"/>
  <c r="AE57" i="8"/>
  <c r="AE56" i="8"/>
  <c r="AE55" i="8"/>
  <c r="AE54" i="8"/>
  <c r="AE52" i="8"/>
  <c r="AE51" i="8"/>
  <c r="AE50" i="8"/>
  <c r="AE49" i="8"/>
  <c r="AE48" i="8"/>
  <c r="AE47" i="8"/>
  <c r="AE46" i="8"/>
  <c r="AE45" i="8"/>
  <c r="AE44" i="8"/>
  <c r="AE43" i="8"/>
  <c r="AE42" i="8"/>
  <c r="AE41" i="8"/>
  <c r="AE40" i="8"/>
  <c r="AE39" i="8"/>
  <c r="AE38" i="8"/>
  <c r="AE37" i="8"/>
  <c r="AE36" i="8"/>
  <c r="AE35" i="8"/>
  <c r="AE34" i="8"/>
  <c r="AE33" i="8"/>
  <c r="AE32" i="8"/>
  <c r="AE31" i="8"/>
  <c r="AE30" i="8"/>
  <c r="AE29" i="8"/>
  <c r="AE28" i="8"/>
  <c r="AE27" i="8"/>
  <c r="AE26" i="8"/>
  <c r="AE25" i="8"/>
  <c r="AE24" i="8"/>
  <c r="AE23" i="8"/>
  <c r="AE22" i="8"/>
  <c r="AE21" i="8"/>
  <c r="AE20" i="8"/>
  <c r="AE19" i="8"/>
  <c r="AE18" i="8"/>
  <c r="AE17" i="8"/>
  <c r="AE16" i="8"/>
  <c r="AE15" i="8"/>
  <c r="AE14" i="8"/>
  <c r="AE13" i="8"/>
  <c r="AE12" i="8"/>
  <c r="AE11" i="8"/>
  <c r="AE10" i="8"/>
  <c r="AE9" i="8"/>
  <c r="AE8" i="8"/>
  <c r="AE7" i="8"/>
  <c r="AE6" i="8"/>
  <c r="AE5" i="8"/>
  <c r="AE4" i="8"/>
  <c r="AE3" i="8"/>
  <c r="AE2" i="8"/>
</calcChain>
</file>

<file path=xl/sharedStrings.xml><?xml version="1.0" encoding="utf-8"?>
<sst xmlns="http://schemas.openxmlformats.org/spreadsheetml/2006/main" count="3723" uniqueCount="881">
  <si>
    <t>외교</t>
    <phoneticPr fontId="1" type="noConversion"/>
  </si>
  <si>
    <t>정보</t>
    <phoneticPr fontId="1" type="noConversion"/>
  </si>
  <si>
    <t>인재</t>
    <phoneticPr fontId="1" type="noConversion"/>
  </si>
  <si>
    <t>제조</t>
    <phoneticPr fontId="1" type="noConversion"/>
  </si>
  <si>
    <t>작적</t>
    <phoneticPr fontId="1" type="noConversion"/>
  </si>
  <si>
    <t>구호</t>
    <phoneticPr fontId="1" type="noConversion"/>
  </si>
  <si>
    <t>풍문</t>
    <phoneticPr fontId="1" type="noConversion"/>
  </si>
  <si>
    <t>화공</t>
    <phoneticPr fontId="1" type="noConversion"/>
  </si>
  <si>
    <t>첩보</t>
    <phoneticPr fontId="1" type="noConversion"/>
  </si>
  <si>
    <t>보병</t>
    <phoneticPr fontId="1" type="noConversion"/>
  </si>
  <si>
    <t>기병</t>
    <phoneticPr fontId="1" type="noConversion"/>
  </si>
  <si>
    <t>궁병</t>
    <phoneticPr fontId="1" type="noConversion"/>
  </si>
  <si>
    <t>해전</t>
    <phoneticPr fontId="1" type="noConversion"/>
  </si>
  <si>
    <t>화계</t>
    <phoneticPr fontId="1" type="noConversion"/>
  </si>
  <si>
    <t>낙석</t>
    <phoneticPr fontId="1" type="noConversion"/>
  </si>
  <si>
    <t>내분</t>
    <phoneticPr fontId="1" type="noConversion"/>
  </si>
  <si>
    <t>천변</t>
    <phoneticPr fontId="1" type="noConversion"/>
  </si>
  <si>
    <t>풍변</t>
    <phoneticPr fontId="1" type="noConversion"/>
  </si>
  <si>
    <t>혼란</t>
    <phoneticPr fontId="1" type="noConversion"/>
  </si>
  <si>
    <t>연환</t>
    <phoneticPr fontId="1" type="noConversion"/>
  </si>
  <si>
    <t>낙뢰</t>
    <phoneticPr fontId="1" type="noConversion"/>
  </si>
  <si>
    <t>수복</t>
    <phoneticPr fontId="1" type="noConversion"/>
  </si>
  <si>
    <t>호통</t>
    <phoneticPr fontId="1" type="noConversion"/>
  </si>
  <si>
    <t>허보</t>
    <phoneticPr fontId="1" type="noConversion"/>
  </si>
  <si>
    <t>조조</t>
    <phoneticPr fontId="1" type="noConversion"/>
  </si>
  <si>
    <t>이름</t>
    <phoneticPr fontId="1" type="noConversion"/>
  </si>
  <si>
    <t>통솔</t>
    <phoneticPr fontId="1" type="noConversion"/>
  </si>
  <si>
    <t>무력</t>
    <phoneticPr fontId="1" type="noConversion"/>
  </si>
  <si>
    <t>정치</t>
    <phoneticPr fontId="1" type="noConversion"/>
  </si>
  <si>
    <t>지력</t>
    <phoneticPr fontId="1" type="noConversion"/>
  </si>
  <si>
    <t>매력</t>
    <phoneticPr fontId="1" type="noConversion"/>
  </si>
  <si>
    <t>평균</t>
    <phoneticPr fontId="1" type="noConversion"/>
  </si>
  <si>
    <t>관우</t>
    <phoneticPr fontId="1" type="noConversion"/>
  </si>
  <si>
    <t>유비</t>
    <phoneticPr fontId="1" type="noConversion"/>
  </si>
  <si>
    <t>손견</t>
    <phoneticPr fontId="1" type="noConversion"/>
  </si>
  <si>
    <t>가후</t>
    <phoneticPr fontId="1" type="noConversion"/>
  </si>
  <si>
    <t>순욱</t>
    <phoneticPr fontId="1" type="noConversion"/>
  </si>
  <si>
    <t>하후돈</t>
    <phoneticPr fontId="1" type="noConversion"/>
  </si>
  <si>
    <t>전풍</t>
    <phoneticPr fontId="1" type="noConversion"/>
  </si>
  <si>
    <t>순유</t>
    <phoneticPr fontId="1" type="noConversion"/>
  </si>
  <si>
    <t>정욱</t>
    <phoneticPr fontId="1" type="noConversion"/>
  </si>
  <si>
    <t>저수</t>
    <phoneticPr fontId="1" type="noConversion"/>
  </si>
  <si>
    <t>여포</t>
    <phoneticPr fontId="1" type="noConversion"/>
  </si>
  <si>
    <t>장비</t>
    <phoneticPr fontId="1" type="noConversion"/>
  </si>
  <si>
    <t>마등</t>
    <phoneticPr fontId="1" type="noConversion"/>
  </si>
  <si>
    <t>하후연</t>
    <phoneticPr fontId="1" type="noConversion"/>
  </si>
  <si>
    <t>엄안</t>
    <phoneticPr fontId="1" type="noConversion"/>
  </si>
  <si>
    <t>동탁</t>
    <phoneticPr fontId="1" type="noConversion"/>
  </si>
  <si>
    <t>진궁</t>
    <phoneticPr fontId="1" type="noConversion"/>
  </si>
  <si>
    <t>노식</t>
    <phoneticPr fontId="1" type="noConversion"/>
  </si>
  <si>
    <t>서황</t>
    <phoneticPr fontId="1" type="noConversion"/>
  </si>
  <si>
    <t>장합</t>
    <phoneticPr fontId="1" type="noConversion"/>
  </si>
  <si>
    <t>장임</t>
    <phoneticPr fontId="1" type="noConversion"/>
  </si>
  <si>
    <t>전위</t>
    <phoneticPr fontId="1" type="noConversion"/>
  </si>
  <si>
    <t>황개</t>
    <phoneticPr fontId="1" type="noConversion"/>
  </si>
  <si>
    <t>이유</t>
    <phoneticPr fontId="1" type="noConversion"/>
  </si>
  <si>
    <t>주태</t>
    <phoneticPr fontId="1" type="noConversion"/>
  </si>
  <si>
    <t>심배</t>
    <phoneticPr fontId="1" type="noConversion"/>
  </si>
  <si>
    <t>문추</t>
    <phoneticPr fontId="1" type="noConversion"/>
  </si>
  <si>
    <t>안량</t>
    <phoneticPr fontId="1" type="noConversion"/>
  </si>
  <si>
    <t>채모</t>
    <phoneticPr fontId="1" type="noConversion"/>
  </si>
  <si>
    <t>주준</t>
    <phoneticPr fontId="1" type="noConversion"/>
  </si>
  <si>
    <t>손건</t>
    <phoneticPr fontId="1" type="noConversion"/>
  </si>
  <si>
    <t>감택</t>
    <phoneticPr fontId="1" type="noConversion"/>
  </si>
  <si>
    <t>조인</t>
    <phoneticPr fontId="1" type="noConversion"/>
  </si>
  <si>
    <t>괴량</t>
    <phoneticPr fontId="1" type="noConversion"/>
  </si>
  <si>
    <t>오의</t>
    <phoneticPr fontId="1" type="noConversion"/>
  </si>
  <si>
    <t>왕윤</t>
    <phoneticPr fontId="1" type="noConversion"/>
  </si>
  <si>
    <t>공손찬</t>
    <phoneticPr fontId="1" type="noConversion"/>
  </si>
  <si>
    <t>화웅</t>
    <phoneticPr fontId="1" type="noConversion"/>
  </si>
  <si>
    <t>공융</t>
    <phoneticPr fontId="1" type="noConversion"/>
  </si>
  <si>
    <t>신비</t>
    <phoneticPr fontId="1" type="noConversion"/>
  </si>
  <si>
    <t>윤묵</t>
    <phoneticPr fontId="1" type="noConversion"/>
  </si>
  <si>
    <t>조무</t>
    <phoneticPr fontId="1" type="noConversion"/>
  </si>
  <si>
    <t>원소</t>
    <phoneticPr fontId="1" type="noConversion"/>
  </si>
  <si>
    <t>봉기</t>
    <phoneticPr fontId="1" type="noConversion"/>
  </si>
  <si>
    <t>뇌동</t>
    <phoneticPr fontId="1" type="noConversion"/>
  </si>
  <si>
    <t>괴월</t>
    <phoneticPr fontId="1" type="noConversion"/>
  </si>
  <si>
    <t>한숭</t>
    <phoneticPr fontId="1" type="noConversion"/>
  </si>
  <si>
    <t>채옹</t>
    <phoneticPr fontId="1" type="noConversion"/>
  </si>
  <si>
    <t>동승</t>
    <phoneticPr fontId="1" type="noConversion"/>
  </si>
  <si>
    <t>우번</t>
    <phoneticPr fontId="1" type="noConversion"/>
  </si>
  <si>
    <t>유언</t>
    <phoneticPr fontId="1" type="noConversion"/>
  </si>
  <si>
    <t>장흠</t>
    <phoneticPr fontId="1" type="noConversion"/>
  </si>
  <si>
    <t>곽도</t>
    <phoneticPr fontId="1" type="noConversion"/>
  </si>
  <si>
    <t>기령</t>
    <phoneticPr fontId="1" type="noConversion"/>
  </si>
  <si>
    <t>미축</t>
    <phoneticPr fontId="1" type="noConversion"/>
  </si>
  <si>
    <t>황보숭</t>
    <phoneticPr fontId="1" type="noConversion"/>
  </si>
  <si>
    <t>장수</t>
    <phoneticPr fontId="1" type="noConversion"/>
  </si>
  <si>
    <t>유장</t>
    <phoneticPr fontId="1" type="noConversion"/>
  </si>
  <si>
    <t>공손도</t>
    <phoneticPr fontId="1" type="noConversion"/>
  </si>
  <si>
    <t>악진</t>
    <phoneticPr fontId="1" type="noConversion"/>
  </si>
  <si>
    <t>원술</t>
    <phoneticPr fontId="1" type="noConversion"/>
  </si>
  <si>
    <t>간옹</t>
    <phoneticPr fontId="1" type="noConversion"/>
  </si>
  <si>
    <t>장제</t>
    <phoneticPr fontId="1" type="noConversion"/>
  </si>
  <si>
    <t>진규</t>
    <phoneticPr fontId="1" type="noConversion"/>
  </si>
  <si>
    <t>모개</t>
    <phoneticPr fontId="1" type="noConversion"/>
  </si>
  <si>
    <t>조홍</t>
    <phoneticPr fontId="1" type="noConversion"/>
  </si>
  <si>
    <t>진림</t>
    <phoneticPr fontId="1" type="noConversion"/>
  </si>
  <si>
    <t>유표</t>
    <phoneticPr fontId="1" type="noConversion"/>
  </si>
  <si>
    <t>진등</t>
    <phoneticPr fontId="1" type="noConversion"/>
  </si>
  <si>
    <t>부간</t>
    <phoneticPr fontId="1" type="noConversion"/>
  </si>
  <si>
    <t>능조</t>
    <phoneticPr fontId="1" type="noConversion"/>
  </si>
  <si>
    <t>허정</t>
    <phoneticPr fontId="1" type="noConversion"/>
  </si>
  <si>
    <t>엄백호</t>
    <phoneticPr fontId="1" type="noConversion"/>
  </si>
  <si>
    <t>순우경</t>
    <phoneticPr fontId="1" type="noConversion"/>
  </si>
  <si>
    <t>한당</t>
    <phoneticPr fontId="1" type="noConversion"/>
  </si>
  <si>
    <t>번조</t>
    <phoneticPr fontId="1" type="noConversion"/>
  </si>
  <si>
    <t>진진</t>
    <phoneticPr fontId="1" type="noConversion"/>
  </si>
  <si>
    <t>이이</t>
    <phoneticPr fontId="1" type="noConversion"/>
  </si>
  <si>
    <t>종요</t>
    <phoneticPr fontId="1" type="noConversion"/>
  </si>
  <si>
    <t>신평</t>
    <phoneticPr fontId="1" type="noConversion"/>
  </si>
  <si>
    <t>여범</t>
    <phoneticPr fontId="1" type="noConversion"/>
  </si>
  <si>
    <t>곽준</t>
    <phoneticPr fontId="1" type="noConversion"/>
  </si>
  <si>
    <t>원상</t>
    <phoneticPr fontId="1" type="noConversion"/>
  </si>
  <si>
    <t>고람</t>
    <phoneticPr fontId="1" type="noConversion"/>
  </si>
  <si>
    <t>부손</t>
    <phoneticPr fontId="1" type="noConversion"/>
  </si>
  <si>
    <t>양회</t>
    <phoneticPr fontId="1" type="noConversion"/>
  </si>
  <si>
    <t>양표</t>
    <phoneticPr fontId="1" type="noConversion"/>
  </si>
  <si>
    <t>원희</t>
    <phoneticPr fontId="1" type="noConversion"/>
  </si>
  <si>
    <t>도겸</t>
    <phoneticPr fontId="1" type="noConversion"/>
  </si>
  <si>
    <t>장훈</t>
    <phoneticPr fontId="1" type="noConversion"/>
  </si>
  <si>
    <t>이전</t>
    <phoneticPr fontId="1" type="noConversion"/>
  </si>
  <si>
    <t>화흠</t>
    <phoneticPr fontId="1" type="noConversion"/>
  </si>
  <si>
    <t>동화</t>
    <phoneticPr fontId="1" type="noConversion"/>
  </si>
  <si>
    <t>장윤</t>
    <phoneticPr fontId="1" type="noConversion"/>
  </si>
  <si>
    <t>엄여</t>
    <phoneticPr fontId="1" type="noConversion"/>
  </si>
  <si>
    <t>반봉</t>
    <phoneticPr fontId="1" type="noConversion"/>
  </si>
  <si>
    <t>장영</t>
    <phoneticPr fontId="1" type="noConversion"/>
  </si>
  <si>
    <t>공주</t>
    <phoneticPr fontId="1" type="noConversion"/>
  </si>
  <si>
    <t>진무</t>
    <phoneticPr fontId="1" type="noConversion"/>
  </si>
  <si>
    <t>동습</t>
    <phoneticPr fontId="1" type="noConversion"/>
  </si>
  <si>
    <t>이숙</t>
    <phoneticPr fontId="1" type="noConversion"/>
  </si>
  <si>
    <t>주흔</t>
    <phoneticPr fontId="1" type="noConversion"/>
  </si>
  <si>
    <t>장의거</t>
    <phoneticPr fontId="1" type="noConversion"/>
  </si>
  <si>
    <t>양흥</t>
    <phoneticPr fontId="1" type="noConversion"/>
  </si>
  <si>
    <t>왕랑</t>
    <phoneticPr fontId="1" type="noConversion"/>
  </si>
  <si>
    <t>하후은</t>
    <phoneticPr fontId="1" type="noConversion"/>
  </si>
  <si>
    <t>황조</t>
    <phoneticPr fontId="1" type="noConversion"/>
  </si>
  <si>
    <t>손정</t>
    <phoneticPr fontId="1" type="noConversion"/>
  </si>
  <si>
    <t>유도</t>
    <phoneticPr fontId="1" type="noConversion"/>
  </si>
  <si>
    <t>한복</t>
    <phoneticPr fontId="1" type="noConversion"/>
  </si>
  <si>
    <t>정은</t>
    <phoneticPr fontId="1" type="noConversion"/>
  </si>
  <si>
    <t>엄강</t>
    <phoneticPr fontId="1" type="noConversion"/>
  </si>
  <si>
    <t>유현</t>
    <phoneticPr fontId="1" type="noConversion"/>
  </si>
  <si>
    <t>원담</t>
    <phoneticPr fontId="1" type="noConversion"/>
  </si>
  <si>
    <t>조순</t>
    <phoneticPr fontId="1" type="noConversion"/>
  </si>
  <si>
    <t>원윤</t>
    <phoneticPr fontId="1" type="noConversion"/>
  </si>
  <si>
    <t>미방</t>
    <phoneticPr fontId="1" type="noConversion"/>
  </si>
  <si>
    <t>곽사</t>
    <phoneticPr fontId="1" type="noConversion"/>
  </si>
  <si>
    <t>진횡</t>
    <phoneticPr fontId="1" type="noConversion"/>
  </si>
  <si>
    <t>공손월</t>
    <phoneticPr fontId="1" type="noConversion"/>
  </si>
  <si>
    <t>무안국</t>
    <phoneticPr fontId="1" type="noConversion"/>
  </si>
  <si>
    <t>뇌박</t>
    <phoneticPr fontId="1" type="noConversion"/>
  </si>
  <si>
    <t>이각</t>
    <phoneticPr fontId="1" type="noConversion"/>
  </si>
  <si>
    <t>교모</t>
    <phoneticPr fontId="1" type="noConversion"/>
  </si>
  <si>
    <t>조범</t>
    <phoneticPr fontId="1" type="noConversion"/>
  </si>
  <si>
    <t>고패</t>
    <phoneticPr fontId="1" type="noConversion"/>
  </si>
  <si>
    <t>주치</t>
    <phoneticPr fontId="1" type="noConversion"/>
  </si>
  <si>
    <t>마완</t>
    <phoneticPr fontId="1" type="noConversion"/>
  </si>
  <si>
    <t>조표</t>
    <phoneticPr fontId="1" type="noConversion"/>
  </si>
  <si>
    <t>장막</t>
    <phoneticPr fontId="1" type="noConversion"/>
  </si>
  <si>
    <t>동민</t>
    <phoneticPr fontId="1" type="noConversion"/>
  </si>
  <si>
    <t>서영</t>
    <phoneticPr fontId="1" type="noConversion"/>
  </si>
  <si>
    <t>유요</t>
    <phoneticPr fontId="1" type="noConversion"/>
  </si>
  <si>
    <t>금선</t>
    <phoneticPr fontId="1" type="noConversion"/>
  </si>
  <si>
    <t>주유</t>
    <phoneticPr fontId="1" type="noConversion"/>
  </si>
  <si>
    <t>조운</t>
    <phoneticPr fontId="1" type="noConversion"/>
  </si>
  <si>
    <t>서서</t>
    <phoneticPr fontId="1" type="noConversion"/>
  </si>
  <si>
    <t>손책</t>
    <phoneticPr fontId="1" type="noConversion"/>
  </si>
  <si>
    <t>곽가</t>
    <phoneticPr fontId="1" type="noConversion"/>
  </si>
  <si>
    <t>태사자</t>
    <phoneticPr fontId="1" type="noConversion"/>
  </si>
  <si>
    <t>만총</t>
    <phoneticPr fontId="1" type="noConversion"/>
  </si>
  <si>
    <t>감녕</t>
    <phoneticPr fontId="1" type="noConversion"/>
  </si>
  <si>
    <t>마초</t>
    <phoneticPr fontId="1" type="noConversion"/>
  </si>
  <si>
    <t>장송</t>
    <phoneticPr fontId="1" type="noConversion"/>
  </si>
  <si>
    <t>이회</t>
    <phoneticPr fontId="1" type="noConversion"/>
  </si>
  <si>
    <t>황권</t>
    <phoneticPr fontId="1" type="noConversion"/>
  </si>
  <si>
    <t>동윤</t>
    <phoneticPr fontId="1" type="noConversion"/>
  </si>
  <si>
    <t>이적</t>
    <phoneticPr fontId="1" type="noConversion"/>
  </si>
  <si>
    <t>유엽</t>
    <phoneticPr fontId="1" type="noConversion"/>
  </si>
  <si>
    <t>오란</t>
    <phoneticPr fontId="1" type="noConversion"/>
  </si>
  <si>
    <t>왕보</t>
    <phoneticPr fontId="1" type="noConversion"/>
  </si>
  <si>
    <t>마대</t>
    <phoneticPr fontId="1" type="noConversion"/>
  </si>
  <si>
    <t>염포</t>
    <phoneticPr fontId="1" type="noConversion"/>
  </si>
  <si>
    <t>한수</t>
    <phoneticPr fontId="1" type="noConversion"/>
  </si>
  <si>
    <t>주창</t>
    <phoneticPr fontId="1" type="noConversion"/>
  </si>
  <si>
    <t>문빙</t>
    <phoneticPr fontId="1" type="noConversion"/>
  </si>
  <si>
    <t>장연</t>
    <phoneticPr fontId="1" type="noConversion"/>
  </si>
  <si>
    <t>전주</t>
    <phoneticPr fontId="1" type="noConversion"/>
  </si>
  <si>
    <t>동소</t>
    <phoneticPr fontId="1" type="noConversion"/>
  </si>
  <si>
    <t>허유</t>
    <phoneticPr fontId="1" type="noConversion"/>
  </si>
  <si>
    <t>고옹</t>
    <phoneticPr fontId="1" type="noConversion"/>
  </si>
  <si>
    <t>진교</t>
    <phoneticPr fontId="1" type="noConversion"/>
  </si>
  <si>
    <t>장패</t>
    <phoneticPr fontId="1" type="noConversion"/>
  </si>
  <si>
    <t>동형</t>
    <phoneticPr fontId="1" type="noConversion"/>
  </si>
  <si>
    <t>차주</t>
    <phoneticPr fontId="1" type="noConversion"/>
  </si>
  <si>
    <t>등현</t>
    <phoneticPr fontId="1" type="noConversion"/>
  </si>
  <si>
    <t>부동</t>
    <phoneticPr fontId="1" type="noConversion"/>
  </si>
  <si>
    <t>설종</t>
    <phoneticPr fontId="1" type="noConversion"/>
  </si>
  <si>
    <t>유파</t>
    <phoneticPr fontId="1" type="noConversion"/>
  </si>
  <si>
    <t>소비</t>
    <phoneticPr fontId="1" type="noConversion"/>
  </si>
  <si>
    <t>위속</t>
    <phoneticPr fontId="1" type="noConversion"/>
  </si>
  <si>
    <t>왕수</t>
    <phoneticPr fontId="1" type="noConversion"/>
  </si>
  <si>
    <t>고순</t>
    <phoneticPr fontId="1" type="noConversion"/>
  </si>
  <si>
    <t>여상</t>
    <phoneticPr fontId="1" type="noConversion"/>
  </si>
  <si>
    <t>장위</t>
    <phoneticPr fontId="1" type="noConversion"/>
  </si>
  <si>
    <t>조앙</t>
    <phoneticPr fontId="1" type="noConversion"/>
  </si>
  <si>
    <t>여광</t>
    <phoneticPr fontId="1" type="noConversion"/>
  </si>
  <si>
    <t>후성</t>
    <phoneticPr fontId="1" type="noConversion"/>
  </si>
  <si>
    <t>공지</t>
    <phoneticPr fontId="1" type="noConversion"/>
  </si>
  <si>
    <t>비시</t>
    <phoneticPr fontId="1" type="noConversion"/>
  </si>
  <si>
    <t>책융</t>
    <phoneticPr fontId="1" type="noConversion"/>
  </si>
  <si>
    <t>유대</t>
    <phoneticPr fontId="1" type="noConversion"/>
  </si>
  <si>
    <t>양추</t>
    <phoneticPr fontId="1" type="noConversion"/>
  </si>
  <si>
    <t>송헌</t>
    <phoneticPr fontId="1" type="noConversion"/>
  </si>
  <si>
    <t>양송</t>
    <phoneticPr fontId="1" type="noConversion"/>
  </si>
  <si>
    <t>마휴</t>
    <phoneticPr fontId="1" type="noConversion"/>
  </si>
  <si>
    <t>장남</t>
    <phoneticPr fontId="1" type="noConversion"/>
  </si>
  <si>
    <t>한섬</t>
    <phoneticPr fontId="1" type="noConversion"/>
  </si>
  <si>
    <t>노숙</t>
    <phoneticPr fontId="1" type="noConversion"/>
  </si>
  <si>
    <t>여몽</t>
    <phoneticPr fontId="1" type="noConversion"/>
  </si>
  <si>
    <t>학소</t>
    <phoneticPr fontId="1" type="noConversion"/>
  </si>
  <si>
    <t>제갈근</t>
    <phoneticPr fontId="1" type="noConversion"/>
  </si>
  <si>
    <t>장소</t>
    <phoneticPr fontId="1" type="noConversion"/>
  </si>
  <si>
    <t>방덕</t>
    <phoneticPr fontId="1" type="noConversion"/>
  </si>
  <si>
    <t>서성</t>
    <phoneticPr fontId="1" type="noConversion"/>
  </si>
  <si>
    <t>장굉</t>
    <phoneticPr fontId="1" type="noConversion"/>
  </si>
  <si>
    <t>법정</t>
    <phoneticPr fontId="1" type="noConversion"/>
  </si>
  <si>
    <t>허저</t>
    <phoneticPr fontId="1" type="noConversion"/>
  </si>
  <si>
    <t>위연</t>
    <phoneticPr fontId="1" type="noConversion"/>
  </si>
  <si>
    <t>양수</t>
    <phoneticPr fontId="1" type="noConversion"/>
  </si>
  <si>
    <t>관평</t>
    <phoneticPr fontId="1" type="noConversion"/>
  </si>
  <si>
    <t>곽유지</t>
    <phoneticPr fontId="1" type="noConversion"/>
  </si>
  <si>
    <t>사마랑</t>
    <phoneticPr fontId="1" type="noConversion"/>
  </si>
  <si>
    <t>여의</t>
    <phoneticPr fontId="1" type="noConversion"/>
  </si>
  <si>
    <t>손유</t>
    <phoneticPr fontId="1" type="noConversion"/>
  </si>
  <si>
    <t>우금</t>
    <phoneticPr fontId="1" type="noConversion"/>
  </si>
  <si>
    <t>前</t>
    <phoneticPr fontId="1" type="noConversion"/>
  </si>
  <si>
    <t>後</t>
    <phoneticPr fontId="1" type="noConversion"/>
  </si>
  <si>
    <t>공손공</t>
    <phoneticPr fontId="1" type="noConversion"/>
  </si>
  <si>
    <t>조루</t>
    <phoneticPr fontId="1" type="noConversion"/>
  </si>
  <si>
    <t>맹달</t>
    <phoneticPr fontId="1" type="noConversion"/>
  </si>
  <si>
    <t>가규</t>
    <phoneticPr fontId="1" type="noConversion"/>
  </si>
  <si>
    <t>손례</t>
    <phoneticPr fontId="1" type="noConversion"/>
  </si>
  <si>
    <t>정병</t>
    <phoneticPr fontId="1" type="noConversion"/>
  </si>
  <si>
    <t>반장</t>
    <phoneticPr fontId="1" type="noConversion"/>
  </si>
  <si>
    <t>여개</t>
    <phoneticPr fontId="1" type="noConversion"/>
  </si>
  <si>
    <t>공손강</t>
    <phoneticPr fontId="1" type="noConversion"/>
  </si>
  <si>
    <t>주연</t>
    <phoneticPr fontId="1" type="noConversion"/>
  </si>
  <si>
    <t>담웅</t>
    <phoneticPr fontId="1" type="noConversion"/>
  </si>
  <si>
    <t>유기</t>
    <phoneticPr fontId="1" type="noConversion"/>
  </si>
  <si>
    <t>진복</t>
    <phoneticPr fontId="1" type="noConversion"/>
  </si>
  <si>
    <t>주령</t>
    <phoneticPr fontId="1" type="noConversion"/>
  </si>
  <si>
    <t>요화</t>
    <phoneticPr fontId="1" type="noConversion"/>
  </si>
  <si>
    <t>여건</t>
    <phoneticPr fontId="1" type="noConversion"/>
  </si>
  <si>
    <t>호반</t>
    <phoneticPr fontId="1" type="noConversion"/>
  </si>
  <si>
    <t>포륭</t>
    <phoneticPr fontId="1" type="noConversion"/>
  </si>
  <si>
    <t>장횡</t>
    <phoneticPr fontId="1" type="noConversion"/>
  </si>
  <si>
    <t>육적</t>
    <phoneticPr fontId="1" type="noConversion"/>
  </si>
  <si>
    <t>여위</t>
    <phoneticPr fontId="1" type="noConversion"/>
  </si>
  <si>
    <t>유종</t>
    <phoneticPr fontId="1" type="noConversion"/>
  </si>
  <si>
    <t>마철</t>
    <phoneticPr fontId="1" type="noConversion"/>
  </si>
  <si>
    <t>장간</t>
    <phoneticPr fontId="1" type="noConversion"/>
  </si>
  <si>
    <t>성의</t>
    <phoneticPr fontId="1" type="noConversion"/>
  </si>
  <si>
    <t>마충</t>
    <phoneticPr fontId="1" type="noConversion"/>
  </si>
  <si>
    <t>손</t>
    <phoneticPr fontId="1" type="noConversion"/>
  </si>
  <si>
    <t>채화</t>
    <phoneticPr fontId="1" type="noConversion"/>
  </si>
  <si>
    <t>한현</t>
    <phoneticPr fontId="1" type="noConversion"/>
  </si>
  <si>
    <t>채중</t>
    <phoneticPr fontId="1" type="noConversion"/>
  </si>
  <si>
    <t>제갈량</t>
    <phoneticPr fontId="1" type="noConversion"/>
  </si>
  <si>
    <t>사마의</t>
    <phoneticPr fontId="1" type="noConversion"/>
  </si>
  <si>
    <t>육손</t>
    <phoneticPr fontId="1" type="noConversion"/>
  </si>
  <si>
    <t>손권</t>
    <phoneticPr fontId="1" type="noConversion"/>
  </si>
  <si>
    <t>황충</t>
    <phoneticPr fontId="1" type="noConversion"/>
  </si>
  <si>
    <t>진군</t>
    <phoneticPr fontId="1" type="noConversion"/>
  </si>
  <si>
    <t>주환</t>
    <phoneticPr fontId="1" type="noConversion"/>
  </si>
  <si>
    <t>관흥</t>
    <phoneticPr fontId="1" type="noConversion"/>
  </si>
  <si>
    <t>이엄</t>
    <phoneticPr fontId="1" type="noConversion"/>
  </si>
  <si>
    <t>조비</t>
    <phoneticPr fontId="1" type="noConversion"/>
  </si>
  <si>
    <t>장포</t>
    <phoneticPr fontId="1" type="noConversion"/>
  </si>
  <si>
    <t>왕평</t>
    <phoneticPr fontId="1" type="noConversion"/>
  </si>
  <si>
    <t>왕찬</t>
    <phoneticPr fontId="1" type="noConversion"/>
  </si>
  <si>
    <t>곽회</t>
    <phoneticPr fontId="1" type="noConversion"/>
  </si>
  <si>
    <t>전종</t>
    <phoneticPr fontId="1" type="noConversion"/>
  </si>
  <si>
    <t>보즐</t>
    <phoneticPr fontId="1" type="noConversion"/>
  </si>
  <si>
    <t>능통</t>
    <phoneticPr fontId="1" type="noConversion"/>
  </si>
  <si>
    <t>조진</t>
    <phoneticPr fontId="1" type="noConversion"/>
  </si>
  <si>
    <t>조휴</t>
    <phoneticPr fontId="1" type="noConversion"/>
  </si>
  <si>
    <t>손환</t>
    <phoneticPr fontId="1" type="noConversion"/>
  </si>
  <si>
    <t>부영</t>
    <phoneticPr fontId="1" type="noConversion"/>
  </si>
  <si>
    <t>하후상</t>
    <phoneticPr fontId="1" type="noConversion"/>
  </si>
  <si>
    <t>유순</t>
    <phoneticPr fontId="1" type="noConversion"/>
  </si>
  <si>
    <t>형도영</t>
    <phoneticPr fontId="1" type="noConversion"/>
  </si>
  <si>
    <t>방의</t>
    <phoneticPr fontId="1" type="noConversion"/>
  </si>
  <si>
    <t>유봉</t>
    <phoneticPr fontId="1" type="noConversion"/>
  </si>
  <si>
    <t>손소</t>
    <phoneticPr fontId="1" type="noConversion"/>
  </si>
  <si>
    <t>하후덕</t>
    <phoneticPr fontId="1" type="noConversion"/>
  </si>
  <si>
    <t>낙통</t>
    <phoneticPr fontId="1" type="noConversion"/>
  </si>
  <si>
    <t>손광</t>
    <phoneticPr fontId="1" type="noConversion"/>
  </si>
  <si>
    <t>손랑</t>
    <phoneticPr fontId="1" type="noConversion"/>
  </si>
  <si>
    <t>하후무</t>
    <phoneticPr fontId="1" type="noConversion"/>
  </si>
  <si>
    <t>장완</t>
    <phoneticPr fontId="1" type="noConversion"/>
  </si>
  <si>
    <t>마량</t>
    <phoneticPr fontId="1" type="noConversion"/>
  </si>
  <si>
    <t>제갈각</t>
    <phoneticPr fontId="1" type="noConversion"/>
  </si>
  <si>
    <t>등지</t>
    <phoneticPr fontId="1" type="noConversion"/>
  </si>
  <si>
    <t>하후패</t>
    <phoneticPr fontId="1" type="noConversion"/>
  </si>
  <si>
    <t>마속</t>
    <phoneticPr fontId="1" type="noConversion"/>
  </si>
  <si>
    <t>조창</t>
    <phoneticPr fontId="1" type="noConversion"/>
  </si>
  <si>
    <t>관색</t>
    <phoneticPr fontId="1" type="noConversion"/>
  </si>
  <si>
    <t>향총</t>
    <phoneticPr fontId="1" type="noConversion"/>
  </si>
  <si>
    <t>정봉</t>
    <phoneticPr fontId="1" type="noConversion"/>
  </si>
  <si>
    <t>왕쌍</t>
    <phoneticPr fontId="1" type="noConversion"/>
  </si>
  <si>
    <t>장의</t>
    <phoneticPr fontId="1" type="noConversion"/>
  </si>
  <si>
    <t>하후위</t>
    <phoneticPr fontId="1" type="noConversion"/>
  </si>
  <si>
    <t>조식</t>
    <phoneticPr fontId="1" type="noConversion"/>
  </si>
  <si>
    <t>사마부</t>
    <phoneticPr fontId="1" type="noConversion"/>
  </si>
  <si>
    <t>장익</t>
    <phoneticPr fontId="1" type="noConversion"/>
  </si>
  <si>
    <t>주방</t>
    <phoneticPr fontId="1" type="noConversion"/>
  </si>
  <si>
    <t>정무</t>
    <phoneticPr fontId="1" type="noConversion"/>
  </si>
  <si>
    <t>곽혁</t>
    <phoneticPr fontId="1" type="noConversion"/>
  </si>
  <si>
    <t>가범</t>
    <phoneticPr fontId="1" type="noConversion"/>
  </si>
  <si>
    <t>오질</t>
    <phoneticPr fontId="1" type="noConversion"/>
  </si>
  <si>
    <t>양의</t>
    <phoneticPr fontId="1" type="noConversion"/>
  </si>
  <si>
    <t>왕기</t>
    <phoneticPr fontId="1" type="noConversion"/>
  </si>
  <si>
    <t>등윤</t>
    <phoneticPr fontId="1" type="noConversion"/>
  </si>
  <si>
    <t>유</t>
    <phoneticPr fontId="1" type="noConversion"/>
  </si>
  <si>
    <t>오반</t>
    <phoneticPr fontId="1" type="noConversion"/>
  </si>
  <si>
    <t>초주</t>
    <phoneticPr fontId="1" type="noConversion"/>
  </si>
  <si>
    <t>비연</t>
    <phoneticPr fontId="1" type="noConversion"/>
  </si>
  <si>
    <t>신탐</t>
    <phoneticPr fontId="1" type="noConversion"/>
  </si>
  <si>
    <t>옹개</t>
    <phoneticPr fontId="1" type="noConversion"/>
  </si>
  <si>
    <t>양조</t>
    <phoneticPr fontId="1" type="noConversion"/>
  </si>
  <si>
    <t>고상</t>
    <phoneticPr fontId="1" type="noConversion"/>
  </si>
  <si>
    <t>윤직</t>
    <phoneticPr fontId="1" type="noConversion"/>
  </si>
  <si>
    <t>사정</t>
    <phoneticPr fontId="1" type="noConversion"/>
  </si>
  <si>
    <t>장온</t>
    <phoneticPr fontId="1" type="noConversion"/>
  </si>
  <si>
    <t>장호</t>
    <phoneticPr fontId="1" type="noConversion"/>
  </si>
  <si>
    <t>탁응</t>
    <phoneticPr fontId="1" type="noConversion"/>
  </si>
  <si>
    <t>우전</t>
    <phoneticPr fontId="1" type="noConversion"/>
  </si>
  <si>
    <t>두경</t>
    <phoneticPr fontId="1" type="noConversion"/>
  </si>
  <si>
    <t>풍습</t>
    <phoneticPr fontId="1" type="noConversion"/>
  </si>
  <si>
    <t>유선</t>
    <phoneticPr fontId="1" type="noConversion"/>
  </si>
  <si>
    <t>강유</t>
    <phoneticPr fontId="1" type="noConversion"/>
  </si>
  <si>
    <t>등애</t>
    <phoneticPr fontId="1" type="noConversion"/>
  </si>
  <si>
    <t>사마사</t>
    <phoneticPr fontId="1" type="noConversion"/>
  </si>
  <si>
    <t>왕준</t>
    <phoneticPr fontId="1" type="noConversion"/>
  </si>
  <si>
    <t>하후현</t>
    <phoneticPr fontId="1" type="noConversion"/>
  </si>
  <si>
    <t>하후화</t>
    <phoneticPr fontId="1" type="noConversion"/>
  </si>
  <si>
    <t>맹획</t>
    <phoneticPr fontId="1" type="noConversion"/>
  </si>
  <si>
    <t>하후혜</t>
    <phoneticPr fontId="1" type="noConversion"/>
  </si>
  <si>
    <t>장휴</t>
    <phoneticPr fontId="1" type="noConversion"/>
  </si>
  <si>
    <t>공손연</t>
    <phoneticPr fontId="1" type="noConversion"/>
  </si>
  <si>
    <t>조예</t>
    <phoneticPr fontId="1" type="noConversion"/>
  </si>
  <si>
    <t>타사대왕</t>
    <phoneticPr fontId="1" type="noConversion"/>
  </si>
  <si>
    <t>문흠</t>
    <phoneticPr fontId="1" type="noConversion"/>
  </si>
  <si>
    <t>관구검</t>
    <phoneticPr fontId="1" type="noConversion"/>
  </si>
  <si>
    <t>왕경</t>
    <phoneticPr fontId="1" type="noConversion"/>
  </si>
  <si>
    <t>동궐</t>
    <phoneticPr fontId="1" type="noConversion"/>
  </si>
  <si>
    <t>곽익</t>
    <phoneticPr fontId="1" type="noConversion"/>
  </si>
  <si>
    <t>목록대왕</t>
    <phoneticPr fontId="1" type="noConversion"/>
  </si>
  <si>
    <t>올돌골</t>
    <phoneticPr fontId="1" type="noConversion"/>
  </si>
  <si>
    <t>맹우</t>
    <phoneticPr fontId="1" type="noConversion"/>
  </si>
  <si>
    <t>왕창</t>
    <phoneticPr fontId="1" type="noConversion"/>
  </si>
  <si>
    <t>미당대왕</t>
    <phoneticPr fontId="1" type="noConversion"/>
  </si>
  <si>
    <t>철리길</t>
    <phoneticPr fontId="1" type="noConversion"/>
  </si>
  <si>
    <t>아단</t>
    <phoneticPr fontId="1" type="noConversion"/>
  </si>
  <si>
    <t>아회남</t>
    <phoneticPr fontId="1" type="noConversion"/>
  </si>
  <si>
    <t>축융부인</t>
    <phoneticPr fontId="1" type="noConversion"/>
  </si>
  <si>
    <t>가비능</t>
    <phoneticPr fontId="1" type="noConversion"/>
  </si>
  <si>
    <t>금환삼결</t>
    <phoneticPr fontId="1" type="noConversion"/>
  </si>
  <si>
    <t>왕진</t>
    <phoneticPr fontId="1" type="noConversion"/>
  </si>
  <si>
    <t>번건</t>
    <phoneticPr fontId="1" type="noConversion"/>
  </si>
  <si>
    <t>해니</t>
    <phoneticPr fontId="1" type="noConversion"/>
  </si>
  <si>
    <t>마준</t>
    <phoneticPr fontId="1" type="noConversion"/>
  </si>
  <si>
    <t>월길</t>
    <phoneticPr fontId="1" type="noConversion"/>
  </si>
  <si>
    <t>동다나</t>
    <phoneticPr fontId="1" type="noConversion"/>
  </si>
  <si>
    <t>고정</t>
    <phoneticPr fontId="1" type="noConversion"/>
  </si>
  <si>
    <t>토안</t>
    <phoneticPr fontId="1" type="noConversion"/>
  </si>
  <si>
    <t>양봉</t>
    <phoneticPr fontId="1" type="noConversion"/>
  </si>
  <si>
    <t>맹</t>
    <phoneticPr fontId="1" type="noConversion"/>
  </si>
  <si>
    <t>망아장</t>
    <phoneticPr fontId="1" type="noConversion"/>
  </si>
  <si>
    <t>악침</t>
    <phoneticPr fontId="1" type="noConversion"/>
  </si>
  <si>
    <t>대래동주</t>
    <phoneticPr fontId="1" type="noConversion"/>
  </si>
  <si>
    <t>사마소</t>
    <phoneticPr fontId="1" type="noConversion"/>
  </si>
  <si>
    <t>가충</t>
    <phoneticPr fontId="1" type="noConversion"/>
  </si>
  <si>
    <t>제갈탄</t>
    <phoneticPr fontId="1" type="noConversion"/>
  </si>
  <si>
    <t>진태</t>
    <phoneticPr fontId="1" type="noConversion"/>
  </si>
  <si>
    <t>사마망</t>
    <phoneticPr fontId="1" type="noConversion"/>
  </si>
  <si>
    <t>왕혼</t>
    <phoneticPr fontId="1" type="noConversion"/>
  </si>
  <si>
    <t>환범</t>
    <phoneticPr fontId="1" type="noConversion"/>
  </si>
  <si>
    <t>오강</t>
    <phoneticPr fontId="1" type="noConversion"/>
  </si>
  <si>
    <t>전역</t>
    <phoneticPr fontId="1" type="noConversion"/>
  </si>
  <si>
    <t>전단</t>
    <phoneticPr fontId="1" type="noConversion"/>
  </si>
  <si>
    <t>조우</t>
    <phoneticPr fontId="1" type="noConversion"/>
  </si>
  <si>
    <t>윤대목</t>
    <phoneticPr fontId="1" type="noConversion"/>
  </si>
  <si>
    <t>손등</t>
    <phoneticPr fontId="1" type="noConversion"/>
  </si>
  <si>
    <t>조통</t>
    <phoneticPr fontId="1" type="noConversion"/>
  </si>
  <si>
    <t>서질</t>
    <phoneticPr fontId="1" type="noConversion"/>
  </si>
  <si>
    <t>종예</t>
    <phoneticPr fontId="1" type="noConversion"/>
  </si>
  <si>
    <t>유영</t>
    <phoneticPr fontId="1" type="noConversion"/>
  </si>
  <si>
    <t>장철</t>
    <phoneticPr fontId="1" type="noConversion"/>
  </si>
  <si>
    <t>유리</t>
    <phoneticPr fontId="1" type="noConversion"/>
  </si>
  <si>
    <t>호준</t>
    <phoneticPr fontId="1" type="noConversion"/>
  </si>
  <si>
    <t>이풍</t>
    <phoneticPr fontId="1" type="noConversion"/>
  </si>
  <si>
    <t>조</t>
    <phoneticPr fontId="1" type="noConversion"/>
  </si>
  <si>
    <t>이붕</t>
    <phoneticPr fontId="1" type="noConversion"/>
  </si>
  <si>
    <t>유략</t>
    <phoneticPr fontId="1" type="noConversion"/>
  </si>
  <si>
    <t>조상</t>
    <phoneticPr fontId="1" type="noConversion"/>
  </si>
  <si>
    <t>호열</t>
    <phoneticPr fontId="1" type="noConversion"/>
  </si>
  <si>
    <t>당자</t>
    <phoneticPr fontId="1" type="noConversion"/>
  </si>
  <si>
    <t>주이</t>
    <phoneticPr fontId="1" type="noConversion"/>
  </si>
  <si>
    <t>비고</t>
    <phoneticPr fontId="1" type="noConversion"/>
  </si>
  <si>
    <t>연청</t>
    <phoneticPr fontId="1" type="noConversion"/>
  </si>
  <si>
    <t>주무</t>
    <phoneticPr fontId="1" type="noConversion"/>
  </si>
  <si>
    <t>이응</t>
    <phoneticPr fontId="1" type="noConversion"/>
  </si>
  <si>
    <t>대종</t>
    <phoneticPr fontId="1" type="noConversion"/>
  </si>
  <si>
    <t>배선</t>
    <phoneticPr fontId="1" type="noConversion"/>
  </si>
  <si>
    <t>화영</t>
    <phoneticPr fontId="1" type="noConversion"/>
  </si>
  <si>
    <t>공손승</t>
    <phoneticPr fontId="1" type="noConversion"/>
  </si>
  <si>
    <t>김대견</t>
    <phoneticPr fontId="1" type="noConversion"/>
  </si>
  <si>
    <t>오용</t>
    <phoneticPr fontId="1" type="noConversion"/>
  </si>
  <si>
    <t>노준의</t>
    <phoneticPr fontId="1" type="noConversion"/>
  </si>
  <si>
    <t>조개</t>
    <phoneticPr fontId="1" type="noConversion"/>
  </si>
  <si>
    <t>송강</t>
    <phoneticPr fontId="1" type="noConversion"/>
  </si>
  <si>
    <t>고구</t>
    <phoneticPr fontId="1" type="noConversion"/>
  </si>
  <si>
    <t>노지심</t>
    <phoneticPr fontId="1" type="noConversion"/>
  </si>
  <si>
    <t>유당</t>
    <phoneticPr fontId="1" type="noConversion"/>
  </si>
  <si>
    <t>두천</t>
    <phoneticPr fontId="1" type="noConversion"/>
  </si>
  <si>
    <t>고대수</t>
    <phoneticPr fontId="1" type="noConversion"/>
  </si>
  <si>
    <t>목춘</t>
    <phoneticPr fontId="1" type="noConversion"/>
  </si>
  <si>
    <t>북해 80 / 하비 70 / 서주 60</t>
  </si>
  <si>
    <t>성벽 아래에서 성벽 위</t>
  </si>
  <si>
    <t>사다리 (성벽 아래에서 거리 4)</t>
  </si>
  <si>
    <t>사다리 (성벽 아래에서 거리 3)</t>
  </si>
  <si>
    <t>사다리 (성벽 아래에서 거리 2)</t>
  </si>
  <si>
    <t>사다리 (성벽 아래에서 거리 1)</t>
  </si>
  <si>
    <t>성벽 위에서 성벽 아래</t>
  </si>
  <si>
    <t>사다리 (성벽 위에서 거리 4)</t>
  </si>
  <si>
    <t>사다리 (성벽 위에서 거리 3)</t>
  </si>
  <si>
    <t>사다리 (성벽 위에서 거리 2)</t>
  </si>
  <si>
    <t>사다리 (성벽 위에서 거리 1)</t>
  </si>
  <si>
    <t>○</t>
    <phoneticPr fontId="1" type="noConversion"/>
  </si>
  <si>
    <t>번서</t>
    <phoneticPr fontId="1" type="noConversion"/>
  </si>
  <si>
    <t>관승</t>
    <phoneticPr fontId="1" type="noConversion"/>
  </si>
  <si>
    <t>임충</t>
    <phoneticPr fontId="1" type="noConversion"/>
  </si>
  <si>
    <t>나진인</t>
    <phoneticPr fontId="1" type="noConversion"/>
  </si>
  <si>
    <t>양지</t>
    <phoneticPr fontId="1" type="noConversion"/>
  </si>
  <si>
    <t>자진 (시진)</t>
    <phoneticPr fontId="1" type="noConversion"/>
  </si>
  <si>
    <t>호정작 (호연작)</t>
    <phoneticPr fontId="1" type="noConversion"/>
  </si>
  <si>
    <t>고염 (고렴)</t>
    <phoneticPr fontId="1" type="noConversion"/>
  </si>
  <si>
    <t>진명</t>
    <phoneticPr fontId="1" type="noConversion"/>
  </si>
  <si>
    <t>주동</t>
    <phoneticPr fontId="1" type="noConversion"/>
  </si>
  <si>
    <t>장순</t>
    <phoneticPr fontId="1" type="noConversion"/>
  </si>
  <si>
    <t>뇌횡</t>
    <phoneticPr fontId="1" type="noConversion"/>
  </si>
  <si>
    <t>경영</t>
    <phoneticPr fontId="1" type="noConversion"/>
  </si>
  <si>
    <t>이준</t>
    <phoneticPr fontId="1" type="noConversion"/>
  </si>
  <si>
    <t>무송</t>
    <phoneticPr fontId="1" type="noConversion"/>
  </si>
  <si>
    <t>동평</t>
    <phoneticPr fontId="1" type="noConversion"/>
  </si>
  <si>
    <t>사문공</t>
    <phoneticPr fontId="1" type="noConversion"/>
  </si>
  <si>
    <t>호삼랑</t>
    <phoneticPr fontId="1" type="noConversion"/>
  </si>
  <si>
    <t>이규</t>
    <phoneticPr fontId="1" type="noConversion"/>
  </si>
  <si>
    <t>선찬</t>
    <phoneticPr fontId="1" type="noConversion"/>
  </si>
  <si>
    <t>능진</t>
    <phoneticPr fontId="1" type="noConversion"/>
  </si>
  <si>
    <t>손입 (손립)</t>
    <phoneticPr fontId="1" type="noConversion"/>
  </si>
  <si>
    <t>사신 (사진)</t>
    <phoneticPr fontId="1" type="noConversion"/>
  </si>
  <si>
    <t>번호</t>
    <phoneticPr fontId="1" type="noConversion"/>
  </si>
  <si>
    <t>해진</t>
    <phoneticPr fontId="1" type="noConversion"/>
  </si>
  <si>
    <t>정천수</t>
    <phoneticPr fontId="1" type="noConversion"/>
  </si>
  <si>
    <t>학사문</t>
    <phoneticPr fontId="1" type="noConversion"/>
  </si>
  <si>
    <t>위정국</t>
    <phoneticPr fontId="1" type="noConversion"/>
  </si>
  <si>
    <t>석수</t>
    <phoneticPr fontId="1" type="noConversion"/>
  </si>
  <si>
    <t>이곤</t>
    <phoneticPr fontId="1" type="noConversion"/>
  </si>
  <si>
    <t>한도</t>
    <phoneticPr fontId="1" type="noConversion"/>
  </si>
  <si>
    <t>이사사</t>
    <phoneticPr fontId="1" type="noConversion"/>
  </si>
  <si>
    <t>소양</t>
    <phoneticPr fontId="1" type="noConversion"/>
  </si>
  <si>
    <t>진달</t>
    <phoneticPr fontId="1" type="noConversion"/>
  </si>
  <si>
    <t>초정</t>
    <phoneticPr fontId="1" type="noConversion"/>
  </si>
  <si>
    <t>장경</t>
    <phoneticPr fontId="1" type="noConversion"/>
  </si>
  <si>
    <t>목홍</t>
    <phoneticPr fontId="1" type="noConversion"/>
  </si>
  <si>
    <t>장횡</t>
    <phoneticPr fontId="1" type="noConversion"/>
  </si>
  <si>
    <t>양웅</t>
    <phoneticPr fontId="1" type="noConversion"/>
  </si>
  <si>
    <t>곽성</t>
    <phoneticPr fontId="1" type="noConversion"/>
  </si>
  <si>
    <t>이운</t>
    <phoneticPr fontId="1" type="noConversion"/>
  </si>
  <si>
    <t>여방</t>
    <phoneticPr fontId="1" type="noConversion"/>
  </si>
  <si>
    <t>해보</t>
    <phoneticPr fontId="1" type="noConversion"/>
  </si>
  <si>
    <t>황신</t>
    <phoneticPr fontId="1" type="noConversion"/>
  </si>
  <si>
    <t>황포단 (황보단)</t>
    <phoneticPr fontId="1" type="noConversion"/>
  </si>
  <si>
    <t>설영</t>
    <phoneticPr fontId="1" type="noConversion"/>
  </si>
  <si>
    <t>구붕</t>
    <phoneticPr fontId="1" type="noConversion"/>
  </si>
  <si>
    <t>안도전</t>
    <phoneticPr fontId="1" type="noConversion"/>
  </si>
  <si>
    <t>동위</t>
    <phoneticPr fontId="1" type="noConversion"/>
  </si>
  <si>
    <t>악화</t>
    <phoneticPr fontId="1" type="noConversion"/>
  </si>
  <si>
    <t>이충</t>
    <phoneticPr fontId="1" type="noConversion"/>
  </si>
  <si>
    <t>손신</t>
    <phoneticPr fontId="1" type="noConversion"/>
  </si>
  <si>
    <t>손이낭 (손이랑)</t>
    <phoneticPr fontId="1" type="noConversion"/>
  </si>
  <si>
    <t>추연</t>
    <phoneticPr fontId="1" type="noConversion"/>
  </si>
  <si>
    <t>동맹</t>
    <phoneticPr fontId="1" type="noConversion"/>
  </si>
  <si>
    <t>등비</t>
    <phoneticPr fontId="1" type="noConversion"/>
  </si>
  <si>
    <t>포욱</t>
    <phoneticPr fontId="1" type="noConversion"/>
  </si>
  <si>
    <t>시은</t>
    <phoneticPr fontId="1" type="noConversion"/>
  </si>
  <si>
    <t>주귀</t>
    <phoneticPr fontId="1" type="noConversion"/>
  </si>
  <si>
    <t>양춘</t>
    <phoneticPr fontId="1" type="noConversion"/>
  </si>
  <si>
    <t>도종왕</t>
    <phoneticPr fontId="1" type="noConversion"/>
  </si>
  <si>
    <t>주부</t>
    <phoneticPr fontId="1" type="noConversion"/>
  </si>
  <si>
    <t>이입 (이립)</t>
    <phoneticPr fontId="1" type="noConversion"/>
  </si>
  <si>
    <t>연순</t>
    <phoneticPr fontId="1" type="noConversion"/>
  </si>
  <si>
    <t>공명</t>
    <phoneticPr fontId="1" type="noConversion"/>
  </si>
  <si>
    <t>송만</t>
    <phoneticPr fontId="1" type="noConversion"/>
  </si>
  <si>
    <t>추윤</t>
    <phoneticPr fontId="1" type="noConversion"/>
  </si>
  <si>
    <t>왕영</t>
    <phoneticPr fontId="1" type="noConversion"/>
  </si>
  <si>
    <t>주통</t>
    <phoneticPr fontId="1" type="noConversion"/>
  </si>
  <si>
    <t>공왕</t>
    <phoneticPr fontId="1" type="noConversion"/>
  </si>
  <si>
    <t>시천</t>
    <phoneticPr fontId="1" type="noConversion"/>
  </si>
  <si>
    <t>욱보사</t>
    <phoneticPr fontId="1" type="noConversion"/>
  </si>
  <si>
    <t>석용</t>
    <phoneticPr fontId="1" type="noConversion"/>
  </si>
  <si>
    <t>정득손</t>
    <phoneticPr fontId="1" type="noConversion"/>
  </si>
  <si>
    <t>왕정륙</t>
    <phoneticPr fontId="1" type="noConversion"/>
  </si>
  <si>
    <t>후건</t>
    <phoneticPr fontId="1" type="noConversion"/>
  </si>
  <si>
    <t>단경주</t>
    <phoneticPr fontId="1" type="noConversion"/>
  </si>
  <si>
    <t>송청</t>
    <phoneticPr fontId="1" type="noConversion"/>
  </si>
  <si>
    <t>두흥</t>
    <phoneticPr fontId="1" type="noConversion"/>
  </si>
  <si>
    <t>조정</t>
    <phoneticPr fontId="1" type="noConversion"/>
  </si>
  <si>
    <t>백승</t>
    <phoneticPr fontId="1" type="noConversion"/>
  </si>
  <si>
    <t>마만리</t>
    <phoneticPr fontId="1" type="noConversion"/>
  </si>
  <si>
    <t>공양 (공량)</t>
    <phoneticPr fontId="1" type="noConversion"/>
  </si>
  <si>
    <t>색초 (삭초)</t>
    <phoneticPr fontId="1" type="noConversion"/>
  </si>
  <si>
    <t>선정규 (단정규)</t>
    <phoneticPr fontId="1" type="noConversion"/>
  </si>
  <si>
    <t>항윤 (항충?)</t>
    <phoneticPr fontId="1" type="noConversion"/>
  </si>
  <si>
    <t>마인 (마린)</t>
    <phoneticPr fontId="1" type="noConversion"/>
  </si>
  <si>
    <t>원소이 (완소이)</t>
    <phoneticPr fontId="1" type="noConversion"/>
  </si>
  <si>
    <t>원소칠 (완소칠)</t>
    <phoneticPr fontId="1" type="noConversion"/>
  </si>
  <si>
    <t>원소오 (완소오)</t>
    <phoneticPr fontId="1" type="noConversion"/>
  </si>
  <si>
    <t>탕융 (탕륭)</t>
    <phoneticPr fontId="1" type="noConversion"/>
  </si>
  <si>
    <t>서영 (서령)</t>
    <phoneticPr fontId="1" type="noConversion"/>
  </si>
  <si>
    <t>양임 (양림)</t>
    <phoneticPr fontId="1" type="noConversion"/>
  </si>
  <si>
    <t>체경 (채경)</t>
    <phoneticPr fontId="1" type="noConversion"/>
  </si>
  <si>
    <t>체복 (채복)</t>
    <phoneticPr fontId="1" type="noConversion"/>
  </si>
  <si>
    <t>맹겸 (맹강?)</t>
    <phoneticPr fontId="1" type="noConversion"/>
  </si>
  <si>
    <t>장청</t>
    <phoneticPr fontId="1" type="noConversion"/>
  </si>
  <si>
    <t>몰우전</t>
    <phoneticPr fontId="1" type="noConversion"/>
  </si>
  <si>
    <t>채원자</t>
    <phoneticPr fontId="1" type="noConversion"/>
  </si>
  <si>
    <t>급시우</t>
    <phoneticPr fontId="1" type="noConversion"/>
  </si>
  <si>
    <t>옥기린</t>
    <phoneticPr fontId="1" type="noConversion"/>
  </si>
  <si>
    <t>지다성</t>
    <phoneticPr fontId="1" type="noConversion"/>
  </si>
  <si>
    <t>입운룡</t>
    <phoneticPr fontId="1" type="noConversion"/>
  </si>
  <si>
    <t>대도</t>
    <phoneticPr fontId="1" type="noConversion"/>
  </si>
  <si>
    <t>표자두</t>
    <phoneticPr fontId="1" type="noConversion"/>
  </si>
  <si>
    <t>벽력화</t>
    <phoneticPr fontId="1" type="noConversion"/>
  </si>
  <si>
    <t>쌍편</t>
    <phoneticPr fontId="1" type="noConversion"/>
  </si>
  <si>
    <t>소이광</t>
    <phoneticPr fontId="1" type="noConversion"/>
  </si>
  <si>
    <t>소선풍</t>
    <phoneticPr fontId="1" type="noConversion"/>
  </si>
  <si>
    <t>별명</t>
    <phoneticPr fontId="1" type="noConversion"/>
  </si>
  <si>
    <t>박천조</t>
    <phoneticPr fontId="1" type="noConversion"/>
  </si>
  <si>
    <t>미염공</t>
    <phoneticPr fontId="1" type="noConversion"/>
  </si>
  <si>
    <t>화화상</t>
    <phoneticPr fontId="1" type="noConversion"/>
  </si>
  <si>
    <t>행자</t>
    <phoneticPr fontId="1" type="noConversion"/>
  </si>
  <si>
    <t>쌍창장</t>
    <phoneticPr fontId="1" type="noConversion"/>
  </si>
  <si>
    <t>청면수</t>
    <phoneticPr fontId="1" type="noConversion"/>
  </si>
  <si>
    <t>금창수</t>
    <phoneticPr fontId="1" type="noConversion"/>
  </si>
  <si>
    <t>급선봉</t>
    <phoneticPr fontId="1" type="noConversion"/>
  </si>
  <si>
    <t>신행태보</t>
    <phoneticPr fontId="1" type="noConversion"/>
  </si>
  <si>
    <t>적발귀</t>
    <phoneticPr fontId="1" type="noConversion"/>
  </si>
  <si>
    <t>흑선풍</t>
    <phoneticPr fontId="1" type="noConversion"/>
  </si>
  <si>
    <t>구문룡</t>
    <phoneticPr fontId="1" type="noConversion"/>
  </si>
  <si>
    <t>몰차란</t>
    <phoneticPr fontId="1" type="noConversion"/>
  </si>
  <si>
    <t>소차란</t>
    <phoneticPr fontId="1" type="noConversion"/>
  </si>
  <si>
    <t>탁탑천왕</t>
    <phoneticPr fontId="1" type="noConversion"/>
  </si>
  <si>
    <t>낭자</t>
    <phoneticPr fontId="1" type="noConversion"/>
  </si>
  <si>
    <t>쌍미갈</t>
    <phoneticPr fontId="1" type="noConversion"/>
  </si>
  <si>
    <t>양두사</t>
    <phoneticPr fontId="1" type="noConversion"/>
  </si>
  <si>
    <t>반명삼랑</t>
    <phoneticPr fontId="1" type="noConversion"/>
  </si>
  <si>
    <t>병관색</t>
    <phoneticPr fontId="1" type="noConversion"/>
  </si>
  <si>
    <t>활염라</t>
    <phoneticPr fontId="1" type="noConversion"/>
  </si>
  <si>
    <t>단명이랑</t>
    <phoneticPr fontId="1" type="noConversion"/>
  </si>
  <si>
    <t>입지태세</t>
    <phoneticPr fontId="1" type="noConversion"/>
  </si>
  <si>
    <t>낭리백도</t>
    <phoneticPr fontId="1" type="noConversion"/>
  </si>
  <si>
    <t>선화아</t>
    <phoneticPr fontId="1" type="noConversion"/>
  </si>
  <si>
    <t>혼강룡</t>
    <phoneticPr fontId="1" type="noConversion"/>
  </si>
  <si>
    <t>삽시호</t>
    <phoneticPr fontId="1" type="noConversion"/>
  </si>
  <si>
    <t>신기군사</t>
    <phoneticPr fontId="1" type="noConversion"/>
  </si>
  <si>
    <t>진삼산</t>
    <phoneticPr fontId="1" type="noConversion"/>
  </si>
  <si>
    <t>병울지</t>
    <phoneticPr fontId="1" type="noConversion"/>
  </si>
  <si>
    <t>추군마</t>
    <phoneticPr fontId="1" type="noConversion"/>
  </si>
  <si>
    <t>정목안</t>
    <phoneticPr fontId="1" type="noConversion"/>
  </si>
  <si>
    <t>백승장</t>
    <phoneticPr fontId="1" type="noConversion"/>
  </si>
  <si>
    <t>성수장군</t>
    <phoneticPr fontId="1" type="noConversion"/>
  </si>
  <si>
    <t>신화장군</t>
    <phoneticPr fontId="1" type="noConversion"/>
  </si>
  <si>
    <t>성수서생</t>
    <phoneticPr fontId="1" type="noConversion"/>
  </si>
  <si>
    <t>철면공목</t>
    <phoneticPr fontId="1" type="noConversion"/>
  </si>
  <si>
    <t>마운금시</t>
    <phoneticPr fontId="1" type="noConversion"/>
  </si>
  <si>
    <t>화안산예</t>
    <phoneticPr fontId="1" type="noConversion"/>
  </si>
  <si>
    <t>금모호</t>
    <phoneticPr fontId="1" type="noConversion"/>
  </si>
  <si>
    <t>금표자</t>
    <phoneticPr fontId="1" type="noConversion"/>
  </si>
  <si>
    <t>굉천뢰</t>
    <phoneticPr fontId="1" type="noConversion"/>
  </si>
  <si>
    <t>신산자</t>
    <phoneticPr fontId="1" type="noConversion"/>
  </si>
  <si>
    <t>소온후</t>
    <phoneticPr fontId="1" type="noConversion"/>
  </si>
  <si>
    <t>새인귀</t>
    <phoneticPr fontId="1" type="noConversion"/>
  </si>
  <si>
    <t>신의</t>
    <phoneticPr fontId="1" type="noConversion"/>
  </si>
  <si>
    <t>자염백</t>
    <phoneticPr fontId="1" type="noConversion"/>
  </si>
  <si>
    <t>왜각호</t>
    <phoneticPr fontId="1" type="noConversion"/>
  </si>
  <si>
    <t>일장청</t>
    <phoneticPr fontId="1" type="noConversion"/>
  </si>
  <si>
    <t>상문신</t>
    <phoneticPr fontId="1" type="noConversion"/>
  </si>
  <si>
    <t>팔비나타</t>
    <phoneticPr fontId="1" type="noConversion"/>
  </si>
  <si>
    <t>혼세마왕</t>
    <phoneticPr fontId="1" type="noConversion"/>
  </si>
  <si>
    <t>모두성</t>
    <phoneticPr fontId="1" type="noConversion"/>
  </si>
  <si>
    <t>독화성</t>
    <phoneticPr fontId="1" type="noConversion"/>
  </si>
  <si>
    <t>비천대성</t>
    <phoneticPr fontId="1" type="noConversion"/>
  </si>
  <si>
    <t>옥비장</t>
    <phoneticPr fontId="1" type="noConversion"/>
  </si>
  <si>
    <t>철적선</t>
    <phoneticPr fontId="1" type="noConversion"/>
  </si>
  <si>
    <t>출동교</t>
    <phoneticPr fontId="1" type="noConversion"/>
  </si>
  <si>
    <t>번강신</t>
    <phoneticPr fontId="1" type="noConversion"/>
  </si>
  <si>
    <t>옥번간</t>
    <phoneticPr fontId="1" type="noConversion"/>
  </si>
  <si>
    <t>통비원</t>
    <phoneticPr fontId="1" type="noConversion"/>
  </si>
  <si>
    <t>도간호</t>
    <phoneticPr fontId="1" type="noConversion"/>
  </si>
  <si>
    <t>백화사</t>
    <phoneticPr fontId="1" type="noConversion"/>
  </si>
  <si>
    <t>백면낭군</t>
    <phoneticPr fontId="1" type="noConversion"/>
  </si>
  <si>
    <t>구미구</t>
    <phoneticPr fontId="1" type="noConversion"/>
  </si>
  <si>
    <t>철선자</t>
    <phoneticPr fontId="1" type="noConversion"/>
  </si>
  <si>
    <t>철규자</t>
    <phoneticPr fontId="1" type="noConversion"/>
  </si>
  <si>
    <t>방기 (팽기?)</t>
    <phoneticPr fontId="1" type="noConversion"/>
  </si>
  <si>
    <t>천목장</t>
    <phoneticPr fontId="1" type="noConversion"/>
  </si>
  <si>
    <t>화항호</t>
    <phoneticPr fontId="1" type="noConversion"/>
  </si>
  <si>
    <t>중전호</t>
    <phoneticPr fontId="1" type="noConversion"/>
  </si>
  <si>
    <t>조도귀</t>
    <phoneticPr fontId="1" type="noConversion"/>
  </si>
  <si>
    <t>비고</t>
    <phoneticPr fontId="1" type="noConversion"/>
  </si>
  <si>
    <t>임충의 제자</t>
    <phoneticPr fontId="1" type="noConversion"/>
  </si>
  <si>
    <t>운리금강</t>
    <phoneticPr fontId="1" type="noConversion"/>
  </si>
  <si>
    <t>모착천</t>
    <phoneticPr fontId="1" type="noConversion"/>
  </si>
  <si>
    <t>병대충</t>
    <phoneticPr fontId="1" type="noConversion"/>
  </si>
  <si>
    <t>기병군 소표장</t>
    <phoneticPr fontId="1" type="noConversion"/>
  </si>
  <si>
    <t>타호장</t>
    <phoneticPr fontId="1" type="noConversion"/>
  </si>
  <si>
    <t>양산박 보병 장교</t>
    <phoneticPr fontId="1" type="noConversion"/>
  </si>
  <si>
    <t>소패왕</t>
    <phoneticPr fontId="1" type="noConversion"/>
  </si>
  <si>
    <t>양산박 기병 두령</t>
    <phoneticPr fontId="1" type="noConversion"/>
  </si>
  <si>
    <t>금전표자</t>
    <phoneticPr fontId="1" type="noConversion"/>
  </si>
  <si>
    <t>대장장이</t>
    <phoneticPr fontId="1" type="noConversion"/>
  </si>
  <si>
    <t>귀검아</t>
    <phoneticPr fontId="1" type="noConversion"/>
  </si>
  <si>
    <t>상인</t>
    <phoneticPr fontId="1" type="noConversion"/>
  </si>
  <si>
    <t>출림룡</t>
    <phoneticPr fontId="1" type="noConversion"/>
  </si>
  <si>
    <t>양산박 보군 장교</t>
    <phoneticPr fontId="1" type="noConversion"/>
  </si>
  <si>
    <t>독각룡</t>
    <phoneticPr fontId="1" type="noConversion"/>
  </si>
  <si>
    <t>한지홀률</t>
    <phoneticPr fontId="1" type="noConversion"/>
  </si>
  <si>
    <t>소면호</t>
    <phoneticPr fontId="1" type="noConversion"/>
  </si>
  <si>
    <t>이규의 제자. 상인.</t>
    <phoneticPr fontId="1" type="noConversion"/>
  </si>
  <si>
    <t>금안표</t>
    <phoneticPr fontId="1" type="noConversion"/>
  </si>
  <si>
    <t>양산박 보군 두령</t>
    <phoneticPr fontId="1" type="noConversion"/>
  </si>
  <si>
    <t>철비박</t>
    <phoneticPr fontId="1" type="noConversion"/>
  </si>
  <si>
    <t>사형수 처형 담당</t>
    <phoneticPr fontId="1" type="noConversion"/>
  </si>
  <si>
    <t>일지화</t>
    <phoneticPr fontId="1" type="noConversion"/>
  </si>
  <si>
    <t>최명판관</t>
    <phoneticPr fontId="1" type="noConversion"/>
  </si>
  <si>
    <t>청안호</t>
    <phoneticPr fontId="1" type="noConversion"/>
  </si>
  <si>
    <t>보병군 장교. 주부의 무예 스승.</t>
    <phoneticPr fontId="1" type="noConversion"/>
  </si>
  <si>
    <t>몰면목</t>
    <phoneticPr fontId="1" type="noConversion"/>
  </si>
  <si>
    <t>씨름꾼으로 이규를 제압한 적이 있음</t>
    <phoneticPr fontId="1" type="noConversion"/>
  </si>
  <si>
    <t>석장군</t>
    <phoneticPr fontId="1" type="noConversion"/>
  </si>
  <si>
    <t>보병군 장교. 투전방을 운영하던 상인.</t>
    <phoneticPr fontId="1" type="noConversion"/>
  </si>
  <si>
    <t>소울지</t>
    <phoneticPr fontId="1" type="noConversion"/>
  </si>
  <si>
    <t>모대충</t>
    <phoneticPr fontId="1" type="noConversion"/>
  </si>
  <si>
    <t>모야차</t>
    <phoneticPr fontId="1" type="noConversion"/>
  </si>
  <si>
    <t>활섬파</t>
    <phoneticPr fontId="1" type="noConversion"/>
  </si>
  <si>
    <t>주점 상인</t>
    <phoneticPr fontId="1" type="noConversion"/>
  </si>
  <si>
    <t>인육 주점 상인</t>
    <phoneticPr fontId="1" type="noConversion"/>
  </si>
  <si>
    <t>채소밭지기. 인육 주점 상인. 손이랑의 남편.</t>
    <phoneticPr fontId="1" type="noConversion"/>
  </si>
  <si>
    <t>주점 상인. 손신의 아내. 힘이 센 여걸.</t>
    <phoneticPr fontId="1" type="noConversion"/>
  </si>
  <si>
    <t>인육 주점 상인. 채원자 장청의 아내.</t>
    <phoneticPr fontId="1" type="noConversion"/>
  </si>
  <si>
    <t>주점 상인. 고대수의 남편.</t>
    <phoneticPr fontId="1" type="noConversion"/>
  </si>
  <si>
    <t>험도신</t>
    <phoneticPr fontId="1" type="noConversion"/>
  </si>
  <si>
    <t>백일서</t>
    <phoneticPr fontId="1" type="noConversion"/>
  </si>
  <si>
    <t>첩보 담당 두령</t>
    <phoneticPr fontId="1" type="noConversion"/>
  </si>
  <si>
    <t>보병군 장교. 목춘을 제압한 적이 있음.</t>
    <phoneticPr fontId="1" type="noConversion"/>
  </si>
  <si>
    <t>고상조</t>
    <phoneticPr fontId="1" type="noConversion"/>
  </si>
  <si>
    <t>도둑</t>
    <phoneticPr fontId="1" type="noConversion"/>
  </si>
  <si>
    <t>금모견</t>
    <phoneticPr fontId="1" type="noConversion"/>
  </si>
  <si>
    <t>말도둑</t>
    <phoneticPr fontId="1" type="noConversion"/>
  </si>
  <si>
    <t>경시족</t>
    <phoneticPr fontId="1" type="noConversion"/>
  </si>
  <si>
    <t>몰우전 장청의 아내. 돌팔매의 명수. 미녀.</t>
    <phoneticPr fontId="1" type="noConversion"/>
  </si>
  <si>
    <t>축국 실력으로 벼락출세한 간신</t>
    <phoneticPr fontId="1" type="noConversion"/>
  </si>
  <si>
    <t>고구의 사촌 동생. 도사.</t>
    <phoneticPr fontId="1" type="noConversion"/>
  </si>
  <si>
    <t>공손승의 스승. 가장 뛰어난 도사.</t>
    <phoneticPr fontId="1" type="noConversion"/>
  </si>
  <si>
    <t>도사</t>
    <phoneticPr fontId="1" type="noConversion"/>
  </si>
  <si>
    <t>무예와 병법에 두루 능한 수호전 중반부 보스. 진명을 20합만에 물리침.</t>
    <phoneticPr fontId="1" type="noConversion"/>
  </si>
  <si>
    <t>미녀로 유명한 기생</t>
    <phoneticPr fontId="1" type="noConversion"/>
  </si>
  <si>
    <t>양산박 3대 대두령. 인망이 높고 통솔력이 뛰어나지만 교활한 인물.</t>
    <phoneticPr fontId="1" type="noConversion"/>
  </si>
  <si>
    <t>양산박의 책략가</t>
    <phoneticPr fontId="1" type="noConversion"/>
  </si>
  <si>
    <t>양산박 2대 대두령. 힘이 세고 용맹하며 수하를 다루는 능력이 뛰어남.</t>
    <phoneticPr fontId="1" type="noConversion"/>
  </si>
  <si>
    <t>양산박의 부군사로 진법에 능함. 공손승의 제자. 도사.</t>
    <phoneticPr fontId="1" type="noConversion"/>
  </si>
  <si>
    <t>답돈</t>
    <phoneticPr fontId="1" type="noConversion"/>
  </si>
  <si>
    <t>오환족과의 전투에서 포박해야 등용 가능</t>
  </si>
  <si>
    <t>보물</t>
    <phoneticPr fontId="16" type="noConversion"/>
  </si>
  <si>
    <t>손자병법서</t>
    <phoneticPr fontId="16" type="noConversion"/>
  </si>
  <si>
    <t>소유 장수</t>
    <phoneticPr fontId="16" type="noConversion"/>
  </si>
  <si>
    <t>맹덕신서</t>
    <phoneticPr fontId="16" type="noConversion"/>
  </si>
  <si>
    <t>지력 +3, 정치 +5, 충성 +8</t>
    <phoneticPr fontId="16" type="noConversion"/>
  </si>
  <si>
    <t>조조</t>
    <phoneticPr fontId="16" type="noConversion"/>
  </si>
  <si>
    <t>태평요술서</t>
    <phoneticPr fontId="16" type="noConversion"/>
  </si>
  <si>
    <t>태평청령도</t>
    <phoneticPr fontId="16" type="noConversion"/>
  </si>
  <si>
    <t>군주 소지 시 모든 병 1개월 안에 치료</t>
    <phoneticPr fontId="16" type="noConversion"/>
  </si>
  <si>
    <t>청낭서</t>
    <phoneticPr fontId="16" type="noConversion"/>
  </si>
  <si>
    <t>적토마</t>
    <phoneticPr fontId="16" type="noConversion"/>
  </si>
  <si>
    <t>적노</t>
    <phoneticPr fontId="16" type="noConversion"/>
  </si>
  <si>
    <t>조황비전</t>
    <phoneticPr fontId="16" type="noConversion"/>
  </si>
  <si>
    <t>여포, 관우</t>
    <phoneticPr fontId="16" type="noConversion"/>
  </si>
  <si>
    <t>유비</t>
    <phoneticPr fontId="16" type="noConversion"/>
  </si>
  <si>
    <t>청강검</t>
    <phoneticPr fontId="16" type="noConversion"/>
  </si>
  <si>
    <t>의천검</t>
    <phoneticPr fontId="16" type="noConversion"/>
  </si>
  <si>
    <t>무력 +10, 충성 +15</t>
    <phoneticPr fontId="16" type="noConversion"/>
  </si>
  <si>
    <t>칠성검</t>
    <phoneticPr fontId="16" type="noConversion"/>
  </si>
  <si>
    <t>무력 +8, 충성 +13</t>
    <phoneticPr fontId="16" type="noConversion"/>
  </si>
  <si>
    <t>동탁</t>
    <phoneticPr fontId="16" type="noConversion"/>
  </si>
  <si>
    <t>조조, 조비</t>
    <phoneticPr fontId="16" type="noConversion"/>
  </si>
  <si>
    <t>조조, 하후은, 조운</t>
    <phoneticPr fontId="16" type="noConversion"/>
  </si>
  <si>
    <t>청룡언월도</t>
    <phoneticPr fontId="16" type="noConversion"/>
  </si>
  <si>
    <t>관우, 반장</t>
    <phoneticPr fontId="16" type="noConversion"/>
  </si>
  <si>
    <t>무력 +6, 충성 +9</t>
    <phoneticPr fontId="16" type="noConversion"/>
  </si>
  <si>
    <t>자웅일대검</t>
    <phoneticPr fontId="16" type="noConversion"/>
  </si>
  <si>
    <t>무력 +2, 충성 +7</t>
    <phoneticPr fontId="16" type="noConversion"/>
  </si>
  <si>
    <t>사모</t>
    <phoneticPr fontId="16" type="noConversion"/>
  </si>
  <si>
    <t>무력 +5, 충성 +7</t>
    <phoneticPr fontId="16" type="noConversion"/>
  </si>
  <si>
    <t>장비</t>
    <phoneticPr fontId="16" type="noConversion"/>
  </si>
  <si>
    <t>삼첨도</t>
    <phoneticPr fontId="16" type="noConversion"/>
  </si>
  <si>
    <t>무력 +4, 충성 +7</t>
    <phoneticPr fontId="16" type="noConversion"/>
  </si>
  <si>
    <t>기령</t>
    <phoneticPr fontId="16" type="noConversion"/>
  </si>
  <si>
    <t>쌍철극</t>
    <phoneticPr fontId="16" type="noConversion"/>
  </si>
  <si>
    <t>전위</t>
    <phoneticPr fontId="16" type="noConversion"/>
  </si>
  <si>
    <t>유성추</t>
    <phoneticPr fontId="16" type="noConversion"/>
  </si>
  <si>
    <t>무력 +3, 충성 +7</t>
    <phoneticPr fontId="16" type="noConversion"/>
  </si>
  <si>
    <t>왕쌍</t>
    <phoneticPr fontId="16" type="noConversion"/>
  </si>
  <si>
    <t>방천화극</t>
    <phoneticPr fontId="16" type="noConversion"/>
  </si>
  <si>
    <t>여포</t>
    <phoneticPr fontId="16" type="noConversion"/>
  </si>
  <si>
    <t>무력 +7, 충성 +10</t>
    <phoneticPr fontId="16" type="noConversion"/>
  </si>
  <si>
    <t>철척사모</t>
    <phoneticPr fontId="16" type="noConversion"/>
  </si>
  <si>
    <t>정보</t>
    <phoneticPr fontId="16" type="noConversion"/>
  </si>
  <si>
    <t>고정도</t>
    <phoneticPr fontId="16" type="noConversion"/>
  </si>
  <si>
    <t>손견, 손책, 손권</t>
    <phoneticPr fontId="16" type="noConversion"/>
  </si>
  <si>
    <t>무력 +9, 충성 +14</t>
    <phoneticPr fontId="16" type="noConversion"/>
  </si>
  <si>
    <t>철질여골타</t>
    <phoneticPr fontId="16" type="noConversion"/>
  </si>
  <si>
    <t>사마가</t>
    <phoneticPr fontId="16" type="noConversion"/>
  </si>
  <si>
    <t>대부</t>
    <phoneticPr fontId="16" type="noConversion"/>
  </si>
  <si>
    <t>서황</t>
    <phoneticPr fontId="16" type="noConversion"/>
  </si>
  <si>
    <t>옥새</t>
    <phoneticPr fontId="16" type="noConversion"/>
  </si>
  <si>
    <t>원술, 조조, 조비</t>
    <phoneticPr fontId="16" type="noConversion"/>
  </si>
  <si>
    <t>군주 소지 시 통솔 100, 매력 100</t>
    <phoneticPr fontId="16" type="noConversion"/>
  </si>
  <si>
    <t>종류</t>
    <phoneticPr fontId="16" type="noConversion"/>
  </si>
  <si>
    <t>서적</t>
    <phoneticPr fontId="16" type="noConversion"/>
  </si>
  <si>
    <t>명마</t>
    <phoneticPr fontId="16" type="noConversion"/>
  </si>
  <si>
    <t>무기</t>
    <phoneticPr fontId="16" type="noConversion"/>
  </si>
  <si>
    <t>효과</t>
    <phoneticPr fontId="1" type="noConversion"/>
  </si>
  <si>
    <t>관로</t>
    <phoneticPr fontId="1" type="noConversion"/>
  </si>
  <si>
    <t>수명 +1</t>
    <phoneticPr fontId="1" type="noConversion"/>
  </si>
  <si>
    <t>마균</t>
    <phoneticPr fontId="1" type="noConversion"/>
  </si>
  <si>
    <t>기술력 +10</t>
    <phoneticPr fontId="1" type="noConversion"/>
  </si>
  <si>
    <t>보정</t>
    <phoneticPr fontId="1" type="noConversion"/>
  </si>
  <si>
    <t>사마휘</t>
    <phoneticPr fontId="1" type="noConversion"/>
  </si>
  <si>
    <t>특수능력 +1</t>
    <phoneticPr fontId="1" type="noConversion"/>
  </si>
  <si>
    <t>허자장</t>
    <phoneticPr fontId="1" type="noConversion"/>
  </si>
  <si>
    <t>우길</t>
    <phoneticPr fontId="1" type="noConversion"/>
  </si>
  <si>
    <t>태평청령도</t>
    <phoneticPr fontId="1" type="noConversion"/>
  </si>
  <si>
    <t>좌자</t>
    <phoneticPr fontId="1" type="noConversion"/>
  </si>
  <si>
    <t>둔갑천서3권</t>
    <phoneticPr fontId="1" type="noConversion"/>
  </si>
  <si>
    <t>화타</t>
    <phoneticPr fontId="1" type="noConversion"/>
  </si>
  <si>
    <t>청낭서</t>
    <phoneticPr fontId="1" type="noConversion"/>
  </si>
  <si>
    <t>이름</t>
    <phoneticPr fontId="16" type="noConversion"/>
  </si>
  <si>
    <t>효과</t>
    <phoneticPr fontId="16" type="noConversion"/>
  </si>
  <si>
    <t>지력 +5, 정치 +8, 충성 +10</t>
    <phoneticPr fontId="16" type="noConversion"/>
  </si>
  <si>
    <t>일기토 시 도주 확률 100%, 충성 +15</t>
    <phoneticPr fontId="16" type="noConversion"/>
  </si>
  <si>
    <t>일기토 시 도주 확률 100%, 충성 +10</t>
    <phoneticPr fontId="16" type="noConversion"/>
  </si>
  <si>
    <t>군주 탭 : 임명된 직급자는 일반에 비해 봉록이 높아, 승격시키면 충성 상승. 반대로 강등시키면 충성 저하</t>
    <phoneticPr fontId="1" type="noConversion"/>
  </si>
  <si>
    <t>노-거리3 기준 대미지 비교</t>
    <phoneticPr fontId="1" type="noConversion"/>
  </si>
  <si>
    <t>궁병 능력 : 평지 1배 기준 일람</t>
    <phoneticPr fontId="1" type="noConversion"/>
  </si>
  <si>
    <t>보병 능력 : 평지/길 1배 기준</t>
    <phoneticPr fontId="1" type="noConversion"/>
  </si>
  <si>
    <t>태수</t>
    <phoneticPr fontId="1" type="noConversion"/>
  </si>
  <si>
    <t>노</t>
    <phoneticPr fontId="1" type="noConversion"/>
  </si>
  <si>
    <t>강노</t>
    <phoneticPr fontId="1" type="noConversion"/>
  </si>
  <si>
    <t>연노</t>
    <phoneticPr fontId="1" type="noConversion"/>
  </si>
  <si>
    <t>평지로 공격</t>
    <phoneticPr fontId="1" type="noConversion"/>
  </si>
  <si>
    <t>강에서 공격</t>
    <phoneticPr fontId="1" type="noConversion"/>
  </si>
  <si>
    <t>군사</t>
    <phoneticPr fontId="1" type="noConversion"/>
  </si>
  <si>
    <t>지력 90 정치 80 이상 임명.  군사면 조언. 야전에 군사 출진 시, 함정, 땔감 설치 이벤트 등장하는 경우도 있음</t>
    <phoneticPr fontId="1" type="noConversion"/>
  </si>
  <si>
    <t>거리</t>
    <phoneticPr fontId="1" type="noConversion"/>
  </si>
  <si>
    <t>-</t>
    <phoneticPr fontId="1" type="noConversion"/>
  </si>
  <si>
    <t>숲으로 공격</t>
    <phoneticPr fontId="1" type="noConversion"/>
  </si>
  <si>
    <t>숲에서 공격</t>
    <phoneticPr fontId="1" type="noConversion"/>
  </si>
  <si>
    <t>시중</t>
    <phoneticPr fontId="1" type="noConversion"/>
  </si>
  <si>
    <t>정치 85 이상 임명. 내정면 조언</t>
    <phoneticPr fontId="1" type="noConversion"/>
  </si>
  <si>
    <t>강으로 공격</t>
    <phoneticPr fontId="1" type="noConversion"/>
  </si>
  <si>
    <t>평지에서 공격</t>
    <phoneticPr fontId="1" type="noConversion"/>
  </si>
  <si>
    <t>장군</t>
    <phoneticPr fontId="1" type="noConversion"/>
  </si>
  <si>
    <t>통무 합계 150 이상 임명. 전투 시 공격력 상승</t>
    <phoneticPr fontId="1" type="noConversion"/>
  </si>
  <si>
    <t>산-에서 높은 곳으로 공격</t>
    <phoneticPr fontId="1" type="noConversion"/>
  </si>
  <si>
    <t>산에서 공격 (고저차 대비)</t>
    <phoneticPr fontId="1" type="noConversion"/>
  </si>
  <si>
    <t>산-에서 낮은 곳으로 공격</t>
    <phoneticPr fontId="1" type="noConversion"/>
  </si>
  <si>
    <t>사다리에서 공격 (고저차 적용 X)</t>
    <phoneticPr fontId="1" type="noConversion"/>
  </si>
  <si>
    <t>특수 능력 : 해당 능력이 있어야만 내정/군사/계략/전투 커맨드 실행이 가능</t>
    <phoneticPr fontId="1" type="noConversion"/>
  </si>
  <si>
    <t>성벽 위에서 사다리로 공격</t>
    <phoneticPr fontId="1" type="noConversion"/>
  </si>
  <si>
    <t>정치, 매력(△)이 성공률에 관여</t>
    <phoneticPr fontId="1" type="noConversion"/>
  </si>
  <si>
    <t>날씨에 따른 궁시</t>
    <phoneticPr fontId="1" type="noConversion"/>
  </si>
  <si>
    <t>성벽 위 - 성벽 위</t>
    <phoneticPr fontId="1" type="noConversion"/>
  </si>
  <si>
    <t>지력이 높을수록 『밀정』 실행 개월 수 대비 정보 분석 효과 상승, 계략 성공률 상승. 매복의 상위호환</t>
    <phoneticPr fontId="1" type="noConversion"/>
  </si>
  <si>
    <t>위력</t>
    <phoneticPr fontId="1" type="noConversion"/>
  </si>
  <si>
    <t>맑음</t>
    <phoneticPr fontId="1" type="noConversion"/>
  </si>
  <si>
    <t>정치 및 도시 기술 수치에 따라 각각 비용, 제조량, 제조 기간 영향 (※ 최대제조량÷12 = 1개월 내 최대 제조량)</t>
    <phoneticPr fontId="1" type="noConversion"/>
  </si>
  <si>
    <t>흐림</t>
    <phoneticPr fontId="1" type="noConversion"/>
  </si>
  <si>
    <t>지력, 매력(?)이 성공률에 관여. 『호통』 쓰면 배반 약속 무효, 성공 후 3개월 내 전쟁 미돌입시 무효</t>
    <phoneticPr fontId="1" type="noConversion"/>
  </si>
  <si>
    <t>비구름</t>
    <phoneticPr fontId="1" type="noConversion"/>
  </si>
  <si>
    <t>방랑군주 포함 군주 수 25 초과시 구호에 성공해도 모반이 일어나지 않음, 1,4,7,10월에 발동. 태수 교체시 소요</t>
    <phoneticPr fontId="1" type="noConversion"/>
  </si>
  <si>
    <t>비</t>
    <phoneticPr fontId="1" type="noConversion"/>
  </si>
  <si>
    <t>부하장수→장수전체 or 특정장수의 충성 하락 / 민중→민충성도 or 상업 저하 / 상호 반대로 작용하기도 함</t>
    <phoneticPr fontId="1" type="noConversion"/>
  </si>
  <si>
    <t>호우</t>
    <phoneticPr fontId="1" type="noConversion"/>
  </si>
  <si>
    <t>무력, 지력(△)이 성공률에 관여, 성공 시 민충성도 하락, 대상 도시 최고지력에 따라 확률 감소, 매복 시 성공률 상승</t>
    <phoneticPr fontId="1" type="noConversion"/>
  </si>
  <si>
    <t>개발/상업/기술 100이상, 치수 50이상 상승 불가, 대상 도시 최고지력에 따라 확률 감소</t>
    <phoneticPr fontId="1" type="noConversion"/>
  </si>
  <si>
    <t>보병 전투력 상승, 대장 +130%, 부장 1인당 +25% 가산</t>
    <phoneticPr fontId="1" type="noConversion"/>
  </si>
  <si>
    <t>기병 전투력 상승, 대장 +130%, 부장 1인당 +25% 가산</t>
    <phoneticPr fontId="1" type="noConversion"/>
  </si>
  <si>
    <t>궁병 전투력 상승, 대장 +100%, 부장 1인당 +50% 가산, 연노 추천, 일기토 시 거짓퇴각 가능</t>
    <phoneticPr fontId="1" type="noConversion"/>
  </si>
  <si>
    <t>수상 전투력 상승, 특기 없는 부대 대비 수상전 공격력 3배 상승 보정</t>
    <phoneticPr fontId="1" type="noConversion"/>
  </si>
  <si>
    <t>불에 의한 피해를 받은 해당 부대는 사기도 감소(중첩 가능)</t>
    <phoneticPr fontId="1" type="noConversion"/>
  </si>
  <si>
    <t>체력 60 이상, 병사 1500명 이상 부대가 사용 가능, 1부대 3장수 전원 낙석 보유 시, 연속 실행 가능, 야전에서 거리에 따른 낙석 대미지 : 거리 1 - 10%, 2 - 25%,  3 - 37%, 4 - 48%. 공성전에서는 사다리의 적 21%, 그 외 16%. (경사도에 따라 낙석 경로가 다름 주의) 체력 50 소모</t>
    <phoneticPr fontId="1" type="noConversion"/>
  </si>
  <si>
    <t>부대장의 지력+부대 훈련/사기가 낮을수록 확률 상승, 동토 부대는 사기도 크게 감소</t>
    <phoneticPr fontId="1" type="noConversion"/>
  </si>
  <si>
    <t>지력에 따른 성공률 상승, 체력 60 이상, 사용 시 현재 체력과 관계없이 체력 50 고정, 둔갑천서 부여 특기</t>
    <phoneticPr fontId="1" type="noConversion"/>
  </si>
  <si>
    <t>지력에 따른 성공률 상승, 체력 60 이상, 사용 시 현재 체력과 관계없이 체력 50 고정, 태평요술서 부여 특기</t>
    <phoneticPr fontId="1" type="noConversion"/>
  </si>
  <si>
    <t>야전에서만 사용 가능, 걸린 부대 사기 감소, 공/방 수치 변동 없음, 부대 최고지력이 낮을수록 확률 상승, 중첩 가능</t>
    <phoneticPr fontId="1" type="noConversion"/>
  </si>
  <si>
    <t>인접 부대(배) 혼란 가능, 불화살과 연계 고효율, 연환에 당한 부대 퇴각 시 인접부대 상태 회복 불가능</t>
    <phoneticPr fontId="1" type="noConversion"/>
  </si>
  <si>
    <t>야전에서만 사용 가능, 체력 60 이상, 사용 시 현재 체력과 관계없이 체력 50 고정, 피해 부대 장수 부상+군량부대일 경우 군량도 감소, 무작위로 하나의 부대에 매우 큰 피해, 고지대 위치한 부대 적중률 높음(미검증)</t>
    <phoneticPr fontId="1" type="noConversion"/>
  </si>
  <si>
    <t>농성에서만 사용 가능, 회복 내구도 미미함, 성공률 매우 낮음, 보병 부대만 실행 가능</t>
    <phoneticPr fontId="1" type="noConversion"/>
  </si>
  <si>
    <t>농성에서만 사용 가능, 해당 부대 사기 감소, 격장으로 인해 사기가 상승할 수도 있음, 『작적』 『매복』 무효화 주의</t>
    <phoneticPr fontId="1" type="noConversion"/>
  </si>
  <si>
    <t>농성시 원군 부대에만 사용 가능, 대상 부대 최고지력이 낮을수록 확률 상승, 이민족 영향권 도시 침공 시 확률 상승</t>
    <phoneticPr fontId="1" type="noConversion"/>
  </si>
  <si>
    <t>※특수 능력은 커맨드 진행으로 인한 경험치 축적이나 현인 방문을 통해서 획득할 수 있음, 전자의 경우 무작위 획득</t>
    <phoneticPr fontId="1" type="noConversion"/>
  </si>
  <si>
    <t>성문 방어도</t>
    <phoneticPr fontId="1" type="noConversion"/>
  </si>
  <si>
    <t>유·기·병주</t>
    <phoneticPr fontId="1" type="noConversion"/>
  </si>
  <si>
    <t>양평 130 / 북평 90 / 대현 110 / 진양 100 / 남피 60 / 평원 90 / 업 100</t>
    <phoneticPr fontId="1" type="noConversion"/>
  </si>
  <si>
    <t>청·서주</t>
    <phoneticPr fontId="1" type="noConversion"/>
  </si>
  <si>
    <t>연·예주</t>
    <phoneticPr fontId="1" type="noConversion"/>
  </si>
  <si>
    <t>복양 70 / 진류 130 / 초 100 / 허창 130 / 여남 70(미확인)</t>
    <phoneticPr fontId="1" type="noConversion"/>
  </si>
  <si>
    <t>사례·옹·경</t>
    <phoneticPr fontId="1" type="noConversion"/>
  </si>
  <si>
    <t>낙양 150 / 홍농 70 / 장안 120 / 안정 90 / 천수 120 / 서량 140</t>
    <phoneticPr fontId="1" type="noConversion"/>
  </si>
  <si>
    <t>양주</t>
    <phoneticPr fontId="1" type="noConversion"/>
  </si>
  <si>
    <t>수춘 70 / 건업 140 / 오 110 / 회계 70 / 노강 80 / 시상 70</t>
    <phoneticPr fontId="1" type="noConversion"/>
  </si>
  <si>
    <t>형주북부</t>
    <phoneticPr fontId="1" type="noConversion"/>
  </si>
  <si>
    <t>완 90 / 신야 70 / 양양 120 / 상용 80 / 강하 80 / 강릉110</t>
    <phoneticPr fontId="1" type="noConversion"/>
  </si>
  <si>
    <t>형주남부</t>
    <phoneticPr fontId="1" type="noConversion"/>
  </si>
  <si>
    <t>무릉 70 / 장사 100 / 영릉 60 / 계양 60</t>
    <phoneticPr fontId="1" type="noConversion"/>
  </si>
  <si>
    <t>익주</t>
    <phoneticPr fontId="1" type="noConversion"/>
  </si>
  <si>
    <t>한중 140 / 자동 80 / 하변 100 / 성도 120 / 영안 60 / 강주 90</t>
    <phoneticPr fontId="1" type="noConversion"/>
  </si>
  <si>
    <t>관문(야전)</t>
    <phoneticPr fontId="1" type="noConversion"/>
  </si>
  <si>
    <t>호관 160 / 호뢰관 200 / 함곡관 190 / 무관 150 / 양평관150 / 면죽관 140 / 검각150</t>
    <phoneticPr fontId="1" type="noConversion"/>
  </si>
  <si>
    <t>내정</t>
    <phoneticPr fontId="1" type="noConversion"/>
  </si>
  <si>
    <t>개발</t>
    <phoneticPr fontId="1" type="noConversion"/>
  </si>
  <si>
    <t>7월 군량수입 증가</t>
    <phoneticPr fontId="1" type="noConversion"/>
  </si>
  <si>
    <t>치수</t>
    <phoneticPr fontId="1" type="noConversion"/>
  </si>
  <si>
    <t>홍수 피해 경감, 군량수입 소폭 증가</t>
    <phoneticPr fontId="1" type="noConversion"/>
  </si>
  <si>
    <t>상업</t>
    <phoneticPr fontId="1" type="noConversion"/>
  </si>
  <si>
    <t>1월 금수입 증가</t>
    <phoneticPr fontId="1" type="noConversion"/>
  </si>
  <si>
    <t>기술</t>
    <phoneticPr fontId="1" type="noConversion"/>
  </si>
  <si>
    <t>병기 생산 종류 확대, 병기생산량 증가 및 제조기간 감소 (연노 60 / 파쇄차 80 / 발석차 100)</t>
    <phoneticPr fontId="1" type="noConversion"/>
  </si>
  <si>
    <t>훈련·사기 10당 공격력 +6% / 기병은 보병보다 1.75배 강함 / 보병 특기 소유자가 기병으로 출진하면 손해</t>
    <phoneticPr fontId="1" type="noConversion"/>
  </si>
  <si>
    <r>
      <t xml:space="preserve">기병은 보병보다 공격력 75% 더 높음 / </t>
    </r>
    <r>
      <rPr>
        <sz val="11"/>
        <color rgb="FFFF0000"/>
        <rFont val="맑은 고딕"/>
        <family val="3"/>
        <charset val="129"/>
        <scheme val="minor"/>
      </rPr>
      <t>돌격</t>
    </r>
    <r>
      <rPr>
        <sz val="11"/>
        <rFont val="맑은 고딕"/>
        <family val="3"/>
        <charset val="129"/>
        <scheme val="minor"/>
      </rPr>
      <t>은 통상보다 공격력이 35% 낮음 (0.64배)</t>
    </r>
    <phoneticPr fontId="1" type="noConversion"/>
  </si>
  <si>
    <t>보병/기병 : 대장 통솔 10당 +8% 상당 공격력 상승, 부장의 영향은 미미 (통솔 10당 +0.2% 예상)</t>
    <phoneticPr fontId="1" type="noConversion"/>
  </si>
  <si>
    <r>
      <t xml:space="preserve">궁병 : 대장·부장 모두 통솔 10당 +2.5% 공격력 상승 / 아군 병사수가 적의 2배면 공격력도 거의 2배가 됨, 적 병사수가 아군의 2배면 공격력 1.5배가 됨(적 부대의 통솔이나 특수능력, 병과는 공격력과 무관) / </t>
    </r>
    <r>
      <rPr>
        <b/>
        <sz val="11"/>
        <color rgb="FFFF0000"/>
        <rFont val="맑은 고딕"/>
        <family val="3"/>
        <charset val="129"/>
        <scheme val="minor"/>
      </rPr>
      <t>화시</t>
    </r>
    <r>
      <rPr>
        <b/>
        <sz val="11"/>
        <rFont val="맑은 고딕"/>
        <family val="3"/>
        <charset val="129"/>
        <scheme val="minor"/>
      </rPr>
      <t xml:space="preserve"> 공격력은 궁시의 1.5배</t>
    </r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</si>
  <si>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부대 일반적인 능력은 장수의 </t>
    </r>
    <r>
      <rPr>
        <b/>
        <sz val="11"/>
        <color rgb="FFFF0000"/>
        <rFont val="맑은 고딕"/>
        <family val="3"/>
        <charset val="129"/>
        <scheme val="minor"/>
      </rPr>
      <t>통솔력</t>
    </r>
    <r>
      <rPr>
        <b/>
        <sz val="11"/>
        <rFont val="맑은 고딕"/>
        <family val="3"/>
        <charset val="129"/>
        <scheme val="minor"/>
      </rPr>
      <t>으로 결정</t>
    </r>
    <r>
      <rPr>
        <sz val="11"/>
        <rFont val="맑은 고딕"/>
        <family val="3"/>
        <charset val="129"/>
        <scheme val="minor"/>
      </rPr>
      <t>(무력은 거의 영향 없음, 일기토에서만 적용)되고, 부장을 합쳐 총 3명의 통솔력으로 합산, 지력의 경우 부대 내 지력이 가장 높은 1명의 지력으로 대표됨(미검증)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</si>
  <si>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화계</t>
    </r>
    <r>
      <rPr>
        <sz val="11"/>
        <color rgb="FF333333"/>
        <rFont val="맑은 고딕"/>
        <family val="3"/>
        <charset val="129"/>
        <scheme val="minor"/>
      </rPr>
      <t xml:space="preserve">는 대상에 착화시 4%, 전화(轉火)시 4~11%, </t>
    </r>
    <r>
      <rPr>
        <b/>
        <sz val="11"/>
        <color rgb="FF333333"/>
        <rFont val="맑은 고딕"/>
        <family val="3"/>
        <charset val="129"/>
        <scheme val="minor"/>
      </rPr>
      <t>행동 턴에 불에서 도망치지 않을 시</t>
    </r>
    <r>
      <rPr>
        <sz val="11"/>
        <color rgb="FF333333"/>
        <rFont val="맑은 고딕"/>
        <family val="3"/>
        <charset val="129"/>
        <scheme val="minor"/>
      </rPr>
      <t xml:space="preserve"> 부대 병력의 </t>
    </r>
    <r>
      <rPr>
        <sz val="11"/>
        <color rgb="FFFF0000"/>
        <rFont val="맑은 고딕"/>
        <family val="3"/>
        <charset val="129"/>
        <scheme val="minor"/>
      </rPr>
      <t>35%+500</t>
    </r>
    <r>
      <rPr>
        <sz val="11"/>
        <color rgb="FF333333"/>
        <rFont val="맑은 고딕"/>
        <family val="3"/>
        <charset val="129"/>
        <scheme val="minor"/>
      </rPr>
      <t xml:space="preserve">명 감소. 병량도 마찬가지로 감소 / 불이 잘 타는 순서 </t>
    </r>
    <r>
      <rPr>
        <sz val="11"/>
        <color rgb="FFFF0000"/>
        <rFont val="맑은 고딕"/>
        <family val="3"/>
        <charset val="129"/>
        <scheme val="minor"/>
      </rPr>
      <t>가을</t>
    </r>
    <r>
      <rPr>
        <sz val="11"/>
        <color rgb="FF333333"/>
        <rFont val="맑은 고딕"/>
        <family val="3"/>
        <charset val="129"/>
        <scheme val="minor"/>
      </rPr>
      <t xml:space="preserve"> &gt; </t>
    </r>
    <r>
      <rPr>
        <sz val="11"/>
        <color rgb="FFFF0000"/>
        <rFont val="맑은 고딕"/>
        <family val="3"/>
        <charset val="129"/>
        <scheme val="minor"/>
      </rPr>
      <t>겨울</t>
    </r>
    <r>
      <rPr>
        <sz val="11"/>
        <color rgb="FF333333"/>
        <rFont val="맑은 고딕"/>
        <family val="3"/>
        <charset val="129"/>
        <scheme val="minor"/>
      </rPr>
      <t xml:space="preserve"> &gt; 봄 &gt; 여름</t>
    </r>
    <phoneticPr fontId="1" type="noConversion"/>
  </si>
  <si>
    <t>성문을 부수고 승리했을 때, 적이 퇴각할 수 있는 도시가 있으면 병사·금·병량을 얻을 수 없고, 최종 결전으로 가서 승리하게 되면 그 도시의 병사는 얻을 수 있지만 금·병량을 얻을 수 없음</t>
    <phoneticPr fontId="1" type="noConversion"/>
  </si>
  <si>
    <r>
      <t xml:space="preserve">아군 장수가 포로로 잡혔을 경우 </t>
    </r>
    <r>
      <rPr>
        <b/>
        <sz val="11"/>
        <color rgb="FFFF0000"/>
        <rFont val="맑은 고딕"/>
        <family val="3"/>
        <charset val="129"/>
        <scheme val="minor"/>
      </rPr>
      <t>석방기한은 6개월</t>
    </r>
    <r>
      <rPr>
        <sz val="11"/>
        <rFont val="맑은 고딕"/>
        <family val="3"/>
        <charset val="129"/>
        <scheme val="minor"/>
      </rPr>
      <t>. 이 기간 내로 포로를 데려오지 못하면 영영 데려올 수 없으니 주의</t>
    </r>
    <phoneticPr fontId="1" type="noConversion"/>
  </si>
  <si>
    <t>퇴각 성공률은 무장의 무력, 지력, 부대 훈련도와 사기, 적 부대와의 거리 등에 따라 변동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</si>
  <si>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정치력</t>
    </r>
    <r>
      <rPr>
        <b/>
        <sz val="11"/>
        <rFont val="맑은 고딕"/>
        <family val="3"/>
        <charset val="129"/>
        <scheme val="minor"/>
      </rPr>
      <t>이 높을수록 수송 성공률이 높아짐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</si>
  <si>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체력</t>
    </r>
    <r>
      <rPr>
        <sz val="11"/>
        <rFont val="맑은 고딕"/>
        <family val="3"/>
        <charset val="129"/>
        <scheme val="minor"/>
      </rPr>
      <t>은 한 턴에 5씩 회복이 기준. 부대가 행동하지 않았을 경우, 대장만 10 회복하며, 부장 1명당 추가로 +5씩 회복함 (최대 +20)</t>
    </r>
    <phoneticPr fontId="1" type="noConversion"/>
  </si>
  <si>
    <t>내정과 기타 커맨드를 동시에 하면 능력치 2/3만큼의 패널티 효과 적용. 제조·훈련·밀정·수색 ▷ 장기 커맨드일 경우만으로, 등용이나 계략 같은 단기 커맨드는 제외</t>
    <phoneticPr fontId="1" type="noConversion"/>
  </si>
  <si>
    <r>
      <t xml:space="preserve">내정 효율 : 80 미만에서는 정치력에 따른 상승값 차이 폭이 큼, </t>
    </r>
    <r>
      <rPr>
        <b/>
        <sz val="11"/>
        <rFont val="맑은 고딕"/>
        <family val="3"/>
        <charset val="129"/>
        <scheme val="minor"/>
      </rPr>
      <t>80~143 사이는 정치력에 의한 상승값 차이 적음</t>
    </r>
    <phoneticPr fontId="1" type="noConversion"/>
  </si>
  <si>
    <t>병량 수입과 금수입 : 도시 규모에 따라 소/중/대 각각 2/3/4, 난이도에 따라 초급 1.2 상급 0.8</t>
    <phoneticPr fontId="1" type="noConversion"/>
  </si>
  <si>
    <r>
      <t xml:space="preserve">시세 : 쌀 삼 9~16 / 쌀 팜 1~9 / 노 20~30 / 강노 30~40 / </t>
    </r>
    <r>
      <rPr>
        <b/>
        <sz val="11"/>
        <rFont val="맑은 고딕"/>
        <family val="3"/>
        <charset val="129"/>
        <scheme val="minor"/>
      </rPr>
      <t>군마 11~30</t>
    </r>
    <phoneticPr fontId="1" type="noConversion"/>
  </si>
  <si>
    <r>
      <t xml:space="preserve">진상 : 진상품의 금 가치 환산 시, 병량 5 / 노 14 / </t>
    </r>
    <r>
      <rPr>
        <sz val="11"/>
        <color rgb="FFFF0000"/>
        <rFont val="맑은 고딕"/>
        <family val="3"/>
        <charset val="129"/>
        <scheme val="minor"/>
      </rPr>
      <t>강노 24</t>
    </r>
    <r>
      <rPr>
        <sz val="11"/>
        <rFont val="맑은 고딕"/>
        <family val="3"/>
        <charset val="129"/>
        <scheme val="minor"/>
      </rPr>
      <t xml:space="preserve"> / 군마 20</t>
    </r>
    <phoneticPr fontId="1" type="noConversion"/>
  </si>
  <si>
    <t>매복 무장 대처 꿀팁 : 1.방위전 시에 병사 1로 출진시켜서 즉시 포박 2.점령 가능 도시에 병사 1로 출진시켜서 즉시 포박</t>
    <phoneticPr fontId="1" type="noConversion"/>
  </si>
  <si>
    <t>전쟁 시 장수의 헌책 이벤트가 뜰 경우, 일단 수용한 후에 취소할 것 (충성 -1 방지)</t>
    <phoneticPr fontId="1" type="noConversion"/>
  </si>
  <si>
    <r>
      <rPr>
        <b/>
        <sz val="11"/>
        <rFont val="맑은 고딕"/>
        <family val="3"/>
        <charset val="129"/>
        <scheme val="minor"/>
      </rPr>
      <t>신무장 생년월일 = 궁합 / 월 : 10단위, 일 : 1단위</t>
    </r>
    <r>
      <rPr>
        <sz val="11"/>
        <rFont val="맑은 고딕"/>
        <family val="3"/>
        <charset val="129"/>
        <scheme val="minor"/>
      </rPr>
      <t>, ex) 7월 5일 = 75</t>
    </r>
    <phoneticPr fontId="1" type="noConversion"/>
  </si>
  <si>
    <t>훈련도와 사기가 높을수록 부대 이동력이 커짐</t>
    <phoneticPr fontId="1" type="noConversion"/>
  </si>
  <si>
    <t>왕누(왕루)</t>
    <phoneticPr fontId="1" type="noConversion"/>
  </si>
  <si>
    <t>장노(장로)</t>
    <phoneticPr fontId="1" type="noConversion"/>
  </si>
  <si>
    <t>비위(비의)</t>
    <phoneticPr fontId="1" type="noConversion"/>
  </si>
  <si>
    <t>장요(장료)</t>
    <phoneticPr fontId="1" type="noConversion"/>
  </si>
  <si>
    <t>둔갑천서삼권</t>
    <phoneticPr fontId="16" type="noConversion"/>
  </si>
  <si>
    <t>지력 +2, 천변 가능, 충성 +15</t>
    <phoneticPr fontId="16" type="noConversion"/>
  </si>
  <si>
    <t>지력 +2, 풍변 가능, 충성 +15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</si>
</sst>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_ "/>
  </numFmts>
  <fonts count="17">
    <font>
      <sz val="11"/>
      <name val="돋움"/>
      <charset val="129"/>
    </font>
    <font>
      <sz val="8"/>
      <name val="돋움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16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color rgb="FF333333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rgb="FF373A3C"/>
      <name val="맑은 고딕"/>
      <family val="3"/>
      <charset val="129"/>
      <scheme val="minor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95"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176" fontId="3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4" borderId="1" xfId="0" applyFont="1" applyFill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176" fontId="2" fillId="3" borderId="1" xfId="0" applyNumberFormat="1" applyFont="1" applyFill="1" applyBorder="1" applyAlignment="1">
      <alignment horizontal="left" vertical="center" shrinkToFit="1"/>
    </xf>
    <xf numFmtId="0" fontId="4" fillId="4" borderId="1" xfId="0" applyFont="1" applyFill="1" applyBorder="1" applyAlignment="1">
      <alignment horizontal="left" vertical="center" shrinkToFit="1"/>
    </xf>
    <xf numFmtId="176" fontId="4" fillId="3" borderId="1" xfId="0" applyNumberFormat="1" applyFont="1" applyFill="1" applyBorder="1" applyAlignment="1">
      <alignment horizontal="left" vertical="center" shrinkToFit="1"/>
    </xf>
    <xf numFmtId="0" fontId="4" fillId="8" borderId="1" xfId="0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4" fillId="11" borderId="1" xfId="0" applyFont="1" applyFill="1" applyBorder="1" applyAlignment="1">
      <alignment horizontal="left" vertical="center" shrinkToFit="1"/>
    </xf>
    <xf numFmtId="0" fontId="4" fillId="12" borderId="1" xfId="0" applyFont="1" applyFill="1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center" shrinkToFit="1"/>
    </xf>
    <xf numFmtId="0" fontId="12" fillId="0" borderId="0" xfId="1" applyAlignment="1">
      <alignment vertical="center"/>
    </xf>
    <xf numFmtId="0" fontId="5" fillId="0" borderId="1" xfId="1" applyFont="1" applyBorder="1" applyAlignment="1">
      <alignment horizontal="center"/>
    </xf>
    <xf numFmtId="0" fontId="12" fillId="0" borderId="0" xfId="1"/>
    <xf numFmtId="0" fontId="4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5" borderId="4" xfId="1" applyFont="1" applyFill="1" applyBorder="1"/>
    <xf numFmtId="0" fontId="5" fillId="5" borderId="3" xfId="1" applyFont="1" applyFill="1" applyBorder="1" applyAlignment="1">
      <alignment horizontal="right" vertical="center"/>
    </xf>
    <xf numFmtId="0" fontId="12" fillId="0" borderId="5" xfId="1" applyBorder="1"/>
    <xf numFmtId="0" fontId="5" fillId="0" borderId="4" xfId="1" applyFont="1" applyBorder="1"/>
    <xf numFmtId="0" fontId="5" fillId="0" borderId="6" xfId="1" applyFont="1" applyBorder="1"/>
    <xf numFmtId="41" fontId="5" fillId="5" borderId="1" xfId="1" applyNumberFormat="1" applyFont="1" applyFill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3" xfId="1" applyFont="1" applyBorder="1" applyAlignment="1">
      <alignment horizontal="right" vertical="center"/>
    </xf>
    <xf numFmtId="1" fontId="5" fillId="5" borderId="1" xfId="1" applyNumberFormat="1" applyFont="1" applyFill="1" applyBorder="1" applyAlignment="1">
      <alignment horizontal="center"/>
    </xf>
    <xf numFmtId="0" fontId="5" fillId="5" borderId="7" xfId="1" applyFont="1" applyFill="1" applyBorder="1"/>
    <xf numFmtId="0" fontId="5" fillId="5" borderId="8" xfId="1" applyFont="1" applyFill="1" applyBorder="1"/>
    <xf numFmtId="0" fontId="12" fillId="0" borderId="0" xfId="1" applyAlignment="1">
      <alignment horizontal="center"/>
    </xf>
    <xf numFmtId="1" fontId="5" fillId="0" borderId="1" xfId="1" applyNumberFormat="1" applyFont="1" applyBorder="1" applyAlignment="1">
      <alignment horizont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/>
    </xf>
    <xf numFmtId="0" fontId="5" fillId="7" borderId="4" xfId="1" applyFont="1" applyFill="1" applyBorder="1"/>
    <xf numFmtId="0" fontId="5" fillId="7" borderId="3" xfId="1" applyFont="1" applyFill="1" applyBorder="1" applyAlignment="1">
      <alignment horizontal="right" vertical="center"/>
    </xf>
    <xf numFmtId="0" fontId="5" fillId="6" borderId="9" xfId="1" applyFont="1" applyFill="1" applyBorder="1"/>
    <xf numFmtId="0" fontId="5" fillId="6" borderId="10" xfId="1" applyFont="1" applyFill="1" applyBorder="1"/>
    <xf numFmtId="0" fontId="5" fillId="7" borderId="1" xfId="1" applyFont="1" applyFill="1" applyBorder="1" applyAlignment="1">
      <alignment horizontal="center" vertical="center"/>
    </xf>
    <xf numFmtId="42" fontId="5" fillId="7" borderId="3" xfId="1" applyNumberFormat="1" applyFont="1" applyFill="1" applyBorder="1" applyAlignment="1">
      <alignment vertical="center"/>
    </xf>
    <xf numFmtId="0" fontId="5" fillId="0" borderId="0" xfId="1" applyFont="1"/>
    <xf numFmtId="0" fontId="10" fillId="7" borderId="1" xfId="1" applyFont="1" applyFill="1" applyBorder="1" applyAlignment="1">
      <alignment horizontal="center" vertical="center"/>
    </xf>
    <xf numFmtId="42" fontId="5" fillId="7" borderId="1" xfId="1" applyNumberFormat="1" applyFont="1" applyFill="1" applyBorder="1" applyAlignment="1">
      <alignment vertical="center"/>
    </xf>
    <xf numFmtId="0" fontId="5" fillId="0" borderId="11" xfId="1" applyFont="1" applyBorder="1"/>
    <xf numFmtId="0" fontId="9" fillId="7" borderId="1" xfId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center"/>
    </xf>
    <xf numFmtId="0" fontId="4" fillId="7" borderId="1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5" fillId="7" borderId="1" xfId="1" applyFont="1" applyFill="1" applyBorder="1" applyAlignment="1">
      <alignment horizontal="center"/>
    </xf>
    <xf numFmtId="0" fontId="5" fillId="6" borderId="4" xfId="1" applyFont="1" applyFill="1" applyBorder="1"/>
    <xf numFmtId="0" fontId="5" fillId="6" borderId="3" xfId="1" applyFont="1" applyFill="1" applyBorder="1" applyAlignment="1">
      <alignment horizontal="right" vertical="center"/>
    </xf>
    <xf numFmtId="42" fontId="5" fillId="7" borderId="1" xfId="1" applyNumberFormat="1" applyFont="1" applyFill="1" applyBorder="1" applyAlignment="1">
      <alignment vertical="center" wrapText="1"/>
    </xf>
    <xf numFmtId="0" fontId="5" fillId="10" borderId="1" xfId="1" applyFont="1" applyFill="1" applyBorder="1" applyAlignment="1">
      <alignment horizontal="center" vertical="center"/>
    </xf>
    <xf numFmtId="42" fontId="5" fillId="10" borderId="1" xfId="1" applyNumberFormat="1" applyFont="1" applyFill="1" applyBorder="1" applyAlignment="1">
      <alignment vertical="center"/>
    </xf>
    <xf numFmtId="0" fontId="5" fillId="9" borderId="1" xfId="1" applyFont="1" applyFill="1" applyBorder="1" applyAlignment="1">
      <alignment horizontal="center" vertical="center"/>
    </xf>
    <xf numFmtId="42" fontId="5" fillId="9" borderId="1" xfId="1" applyNumberFormat="1" applyFont="1" applyFill="1" applyBorder="1" applyAlignment="1">
      <alignment vertical="center"/>
    </xf>
    <xf numFmtId="0" fontId="5" fillId="0" borderId="0" xfId="1" applyFont="1" applyAlignment="1">
      <alignment wrapText="1"/>
    </xf>
    <xf numFmtId="0" fontId="11" fillId="0" borderId="0" xfId="1" applyFont="1" applyAlignment="1">
      <alignment vertical="center" wrapText="1"/>
    </xf>
    <xf numFmtId="0" fontId="11" fillId="0" borderId="0" xfId="1" applyFont="1" applyAlignment="1">
      <alignment wrapText="1"/>
    </xf>
    <xf numFmtId="0" fontId="4" fillId="0" borderId="0" xfId="1" applyFont="1" applyAlignment="1">
      <alignment vertical="center"/>
    </xf>
    <xf numFmtId="0" fontId="5" fillId="0" borderId="4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0" fontId="5" fillId="9" borderId="3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5" fillId="7" borderId="2" xfId="1" applyFont="1" applyFill="1" applyBorder="1" applyAlignment="1">
      <alignment horizontal="center" vertical="center"/>
    </xf>
    <xf numFmtId="0" fontId="5" fillId="7" borderId="3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10" borderId="2" xfId="1" applyFont="1" applyFill="1" applyBorder="1" applyAlignment="1">
      <alignment horizontal="center" vertical="center"/>
    </xf>
    <xf numFmtId="0" fontId="5" fillId="10" borderId="3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2">
    <cellStyle name="표준" xfId="0" builtinId="0"/>
    <cellStyle name="표준 2" xfId="1" xr:uid="{FCE44E80-F3E3-4660-8D66-A8A6D15F7E96}"/>
  </cellStyles>
  <dxfs count="21">
    <dxf>
      <fill>
        <patternFill>
          <bgColor theme="9" tint="0.59996337778862885"/>
        </patternFill>
      </fill>
    </dxf>
    <dxf>
      <font>
        <b/>
        <i val="0"/>
      </font>
    </dxf>
    <dxf>
      <font>
        <b/>
        <i val="0"/>
        <color rgb="FFC00000"/>
      </font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ont>
        <b/>
        <i val="0"/>
      </font>
    </dxf>
    <dxf>
      <font>
        <b/>
        <i val="0"/>
        <color rgb="FFC0000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theme="5" tint="-0.24994659260841701"/>
      </font>
    </dxf>
    <dxf>
      <font>
        <b/>
        <i val="0"/>
        <color rgb="FFFF0000"/>
      </font>
    </dxf>
    <dxf>
      <font>
        <b/>
        <i val="0"/>
      </font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theme="5" tint="-0.24994659260841701"/>
      </font>
    </dxf>
    <dxf>
      <font>
        <b/>
        <i val="0"/>
        <color rgb="FFFF000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BDC0-7EF0-45CA-A698-67A35DFD735E}">
  <dimension ref="A1:AF38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5"/>
  <cols>
    <col min="2" max="6" width="6.77734375" customWidth="1"/>
    <col min="7" max="30" width="5.77734375" customWidth="1"/>
    <col min="31" max="31" width="6.77734375" customWidth="1"/>
    <col min="32" max="32" width="30.77734375" style="21" customWidth="1"/>
  </cols>
  <sheetData>
    <row r="1" spans="1:32" ht="16.5">
      <c r="A1" s="2" t="s">
        <v>25</v>
      </c>
      <c r="B1" s="27" t="s">
        <v>26</v>
      </c>
      <c r="C1" s="27" t="s">
        <v>27</v>
      </c>
      <c r="D1" s="27" t="s">
        <v>29</v>
      </c>
      <c r="E1" s="27" t="s">
        <v>28</v>
      </c>
      <c r="F1" s="27" t="s">
        <v>30</v>
      </c>
      <c r="G1" s="11" t="s">
        <v>0</v>
      </c>
      <c r="H1" s="11" t="s">
        <v>1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9</v>
      </c>
      <c r="Q1" s="11" t="s">
        <v>10</v>
      </c>
      <c r="R1" s="11" t="s">
        <v>11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21</v>
      </c>
      <c r="AC1" s="11" t="s">
        <v>22</v>
      </c>
      <c r="AD1" s="11" t="s">
        <v>23</v>
      </c>
      <c r="AE1" s="13" t="s">
        <v>31</v>
      </c>
      <c r="AF1" s="1" t="s">
        <v>412</v>
      </c>
    </row>
    <row r="2" spans="1:32" ht="16.5">
      <c r="A2" s="3" t="s">
        <v>243</v>
      </c>
      <c r="B2" s="4">
        <v>59</v>
      </c>
      <c r="C2" s="4">
        <v>54</v>
      </c>
      <c r="D2" s="4">
        <v>64</v>
      </c>
      <c r="E2" s="4">
        <v>73</v>
      </c>
      <c r="F2" s="4">
        <v>69</v>
      </c>
      <c r="G2" s="91"/>
      <c r="H2" s="91"/>
      <c r="I2" s="91" t="s">
        <v>442</v>
      </c>
      <c r="J2" s="91"/>
      <c r="K2" s="91"/>
      <c r="L2" s="91"/>
      <c r="M2" s="91"/>
      <c r="N2" s="91"/>
      <c r="O2" s="91" t="s">
        <v>442</v>
      </c>
      <c r="P2" s="91"/>
      <c r="Q2" s="91"/>
      <c r="R2" s="91"/>
      <c r="S2" s="91"/>
      <c r="T2" s="91"/>
      <c r="U2" s="91"/>
      <c r="V2" s="91"/>
      <c r="W2" s="91"/>
      <c r="X2" s="91"/>
      <c r="Y2" s="91"/>
      <c r="Z2" s="91" t="s">
        <v>442</v>
      </c>
      <c r="AA2" s="91"/>
      <c r="AB2" s="91"/>
      <c r="AC2" s="91"/>
      <c r="AD2" s="91" t="s">
        <v>442</v>
      </c>
      <c r="AE2" s="8">
        <f t="shared" ref="AE2:AE66" si="0">SUM(B2:F2)/5</f>
        <v>63.8</v>
      </c>
      <c r="AF2" s="29"/>
    </row>
    <row r="3" spans="1:32" ht="16.5">
      <c r="A3" s="3" t="s">
        <v>321</v>
      </c>
      <c r="B3" s="4">
        <v>60</v>
      </c>
      <c r="C3" s="4">
        <v>68</v>
      </c>
      <c r="D3" s="4">
        <v>64</v>
      </c>
      <c r="E3" s="4">
        <v>45</v>
      </c>
      <c r="F3" s="4">
        <v>79</v>
      </c>
      <c r="G3" s="91"/>
      <c r="H3" s="91"/>
      <c r="I3" s="91"/>
      <c r="J3" s="91"/>
      <c r="K3" s="91"/>
      <c r="L3" s="91"/>
      <c r="M3" s="91"/>
      <c r="N3" s="91" t="s">
        <v>442</v>
      </c>
      <c r="O3" s="91"/>
      <c r="P3" s="91"/>
      <c r="Q3" s="91"/>
      <c r="R3" s="91"/>
      <c r="S3" s="91"/>
      <c r="T3" s="91"/>
      <c r="U3" s="91"/>
      <c r="V3" s="91" t="s">
        <v>442</v>
      </c>
      <c r="W3" s="91"/>
      <c r="X3" s="91"/>
      <c r="Y3" s="91" t="s">
        <v>442</v>
      </c>
      <c r="Z3" s="91"/>
      <c r="AA3" s="91"/>
      <c r="AB3" s="91"/>
      <c r="AC3" s="91"/>
      <c r="AD3" s="91"/>
      <c r="AE3" s="8">
        <f t="shared" si="0"/>
        <v>63.2</v>
      </c>
      <c r="AF3" s="29"/>
    </row>
    <row r="4" spans="1:32" ht="16.5">
      <c r="A4" s="3" t="s">
        <v>369</v>
      </c>
      <c r="B4" s="4">
        <v>61</v>
      </c>
      <c r="C4" s="5">
        <v>80</v>
      </c>
      <c r="D4" s="4">
        <v>19</v>
      </c>
      <c r="E4" s="4">
        <v>15</v>
      </c>
      <c r="F4" s="4">
        <v>23</v>
      </c>
      <c r="G4" s="91"/>
      <c r="H4" s="91"/>
      <c r="I4" s="91"/>
      <c r="J4" s="91"/>
      <c r="K4" s="91"/>
      <c r="L4" s="91"/>
      <c r="M4" s="91"/>
      <c r="N4" s="91"/>
      <c r="O4" s="91"/>
      <c r="P4" s="91"/>
      <c r="Q4" s="91" t="s">
        <v>442</v>
      </c>
      <c r="R4" s="91"/>
      <c r="S4" s="91"/>
      <c r="T4" s="91" t="s">
        <v>442</v>
      </c>
      <c r="U4" s="91"/>
      <c r="V4" s="91"/>
      <c r="W4" s="91"/>
      <c r="X4" s="91"/>
      <c r="Y4" s="91"/>
      <c r="Z4" s="91"/>
      <c r="AA4" s="91"/>
      <c r="AB4" s="91"/>
      <c r="AC4" s="91" t="s">
        <v>442</v>
      </c>
      <c r="AD4" s="91"/>
      <c r="AE4" s="8">
        <f t="shared" si="0"/>
        <v>39.6</v>
      </c>
      <c r="AF4" s="29"/>
    </row>
    <row r="5" spans="1:32" ht="16.5">
      <c r="A5" s="3" t="s">
        <v>385</v>
      </c>
      <c r="B5" s="4">
        <v>53</v>
      </c>
      <c r="C5" s="4">
        <v>29</v>
      </c>
      <c r="D5" s="6">
        <v>90</v>
      </c>
      <c r="E5" s="5">
        <v>81</v>
      </c>
      <c r="F5" s="4">
        <v>61</v>
      </c>
      <c r="G5" s="91"/>
      <c r="H5" s="91" t="s">
        <v>442</v>
      </c>
      <c r="I5" s="91" t="s">
        <v>442</v>
      </c>
      <c r="J5" s="91"/>
      <c r="K5" s="91" t="s">
        <v>442</v>
      </c>
      <c r="L5" s="91" t="s">
        <v>442</v>
      </c>
      <c r="M5" s="91" t="s">
        <v>442</v>
      </c>
      <c r="N5" s="91"/>
      <c r="O5" s="91" t="s">
        <v>442</v>
      </c>
      <c r="P5" s="91"/>
      <c r="Q5" s="91"/>
      <c r="R5" s="91"/>
      <c r="S5" s="91"/>
      <c r="T5" s="91" t="s">
        <v>442</v>
      </c>
      <c r="U5" s="91"/>
      <c r="V5" s="91"/>
      <c r="W5" s="91"/>
      <c r="X5" s="91"/>
      <c r="Y5" s="91" t="s">
        <v>442</v>
      </c>
      <c r="Z5" s="91"/>
      <c r="AA5" s="91"/>
      <c r="AB5" s="91" t="s">
        <v>442</v>
      </c>
      <c r="AC5" s="91"/>
      <c r="AD5" s="91" t="s">
        <v>442</v>
      </c>
      <c r="AE5" s="8">
        <f t="shared" si="0"/>
        <v>62.8</v>
      </c>
      <c r="AF5" s="29"/>
    </row>
    <row r="6" spans="1:32" ht="16.5">
      <c r="A6" s="3" t="s">
        <v>35</v>
      </c>
      <c r="B6" s="4">
        <v>75</v>
      </c>
      <c r="C6" s="4">
        <v>30</v>
      </c>
      <c r="D6" s="6">
        <v>96</v>
      </c>
      <c r="E6" s="6">
        <v>93</v>
      </c>
      <c r="F6" s="4">
        <v>67</v>
      </c>
      <c r="G6" s="91" t="s">
        <v>442</v>
      </c>
      <c r="H6" s="91" t="s">
        <v>442</v>
      </c>
      <c r="I6" s="91" t="s">
        <v>442</v>
      </c>
      <c r="J6" s="91" t="s">
        <v>442</v>
      </c>
      <c r="K6" s="91" t="s">
        <v>442</v>
      </c>
      <c r="L6" s="91" t="s">
        <v>442</v>
      </c>
      <c r="M6" s="91" t="s">
        <v>442</v>
      </c>
      <c r="N6" s="91"/>
      <c r="O6" s="91" t="s">
        <v>442</v>
      </c>
      <c r="P6" s="91" t="s">
        <v>442</v>
      </c>
      <c r="Q6" s="91"/>
      <c r="R6" s="91"/>
      <c r="S6" s="91"/>
      <c r="T6" s="91" t="s">
        <v>442</v>
      </c>
      <c r="U6" s="91"/>
      <c r="V6" s="91" t="s">
        <v>442</v>
      </c>
      <c r="W6" s="91"/>
      <c r="X6" s="91"/>
      <c r="Y6" s="91" t="s">
        <v>442</v>
      </c>
      <c r="Z6" s="91"/>
      <c r="AA6" s="91"/>
      <c r="AB6" s="91" t="s">
        <v>442</v>
      </c>
      <c r="AC6" s="91"/>
      <c r="AD6" s="91" t="s">
        <v>442</v>
      </c>
      <c r="AE6" s="8">
        <f t="shared" si="0"/>
        <v>72.2</v>
      </c>
      <c r="AF6" s="29"/>
    </row>
    <row r="7" spans="1:32" ht="16.5">
      <c r="A7" s="3" t="s">
        <v>93</v>
      </c>
      <c r="B7" s="4">
        <v>39</v>
      </c>
      <c r="C7" s="4">
        <v>39</v>
      </c>
      <c r="D7" s="4">
        <v>70</v>
      </c>
      <c r="E7" s="4">
        <v>76</v>
      </c>
      <c r="F7" s="4">
        <v>77</v>
      </c>
      <c r="G7" s="91" t="s">
        <v>442</v>
      </c>
      <c r="H7" s="91"/>
      <c r="I7" s="91" t="s">
        <v>442</v>
      </c>
      <c r="J7" s="91" t="s">
        <v>442</v>
      </c>
      <c r="K7" s="91"/>
      <c r="L7" s="91" t="s">
        <v>442</v>
      </c>
      <c r="M7" s="91"/>
      <c r="N7" s="91"/>
      <c r="O7" s="91" t="s">
        <v>442</v>
      </c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 t="s">
        <v>442</v>
      </c>
      <c r="AC7" s="91"/>
      <c r="AD7" s="91"/>
      <c r="AE7" s="8">
        <f t="shared" si="0"/>
        <v>60.2</v>
      </c>
      <c r="AF7" s="29"/>
    </row>
    <row r="8" spans="1:32" ht="16.5">
      <c r="A8" s="3" t="s">
        <v>173</v>
      </c>
      <c r="B8" s="5">
        <v>86</v>
      </c>
      <c r="C8" s="6">
        <v>92</v>
      </c>
      <c r="D8" s="4">
        <v>60</v>
      </c>
      <c r="E8" s="4">
        <v>44</v>
      </c>
      <c r="F8" s="4">
        <v>65</v>
      </c>
      <c r="G8" s="91"/>
      <c r="H8" s="91"/>
      <c r="I8" s="91"/>
      <c r="J8" s="91"/>
      <c r="K8" s="91"/>
      <c r="L8" s="91" t="s">
        <v>442</v>
      </c>
      <c r="M8" s="91"/>
      <c r="N8" s="91" t="s">
        <v>442</v>
      </c>
      <c r="O8" s="91"/>
      <c r="P8" s="91"/>
      <c r="Q8" s="91"/>
      <c r="R8" s="91" t="s">
        <v>442</v>
      </c>
      <c r="S8" s="91" t="s">
        <v>442</v>
      </c>
      <c r="T8" s="91" t="s">
        <v>442</v>
      </c>
      <c r="U8" s="91" t="s">
        <v>442</v>
      </c>
      <c r="V8" s="91"/>
      <c r="W8" s="91"/>
      <c r="X8" s="91"/>
      <c r="Y8" s="91" t="s">
        <v>442</v>
      </c>
      <c r="Z8" s="91" t="s">
        <v>442</v>
      </c>
      <c r="AA8" s="91"/>
      <c r="AB8" s="91"/>
      <c r="AC8" s="91" t="s">
        <v>442</v>
      </c>
      <c r="AD8" s="91"/>
      <c r="AE8" s="8">
        <f t="shared" si="0"/>
        <v>69.400000000000006</v>
      </c>
      <c r="AF8" s="29"/>
    </row>
    <row r="9" spans="1:32" ht="16.5">
      <c r="A9" s="3" t="s">
        <v>63</v>
      </c>
      <c r="B9" s="4">
        <v>65</v>
      </c>
      <c r="C9" s="4">
        <v>44</v>
      </c>
      <c r="D9" s="4">
        <v>78</v>
      </c>
      <c r="E9" s="5">
        <v>83</v>
      </c>
      <c r="F9" s="4">
        <v>72</v>
      </c>
      <c r="G9" s="91" t="s">
        <v>442</v>
      </c>
      <c r="H9" s="91" t="s">
        <v>442</v>
      </c>
      <c r="I9" s="91" t="s">
        <v>442</v>
      </c>
      <c r="J9" s="91" t="s">
        <v>442</v>
      </c>
      <c r="K9" s="91" t="s">
        <v>442</v>
      </c>
      <c r="L9" s="91" t="s">
        <v>442</v>
      </c>
      <c r="M9" s="91" t="s">
        <v>442</v>
      </c>
      <c r="N9" s="91"/>
      <c r="O9" s="91" t="s">
        <v>442</v>
      </c>
      <c r="P9" s="91"/>
      <c r="Q9" s="91"/>
      <c r="R9" s="91"/>
      <c r="S9" s="91"/>
      <c r="T9" s="91"/>
      <c r="U9" s="91"/>
      <c r="V9" s="91"/>
      <c r="W9" s="91"/>
      <c r="X9" s="91"/>
      <c r="Y9" s="91"/>
      <c r="Z9" s="91" t="s">
        <v>442</v>
      </c>
      <c r="AA9" s="91"/>
      <c r="AB9" s="91"/>
      <c r="AC9" s="91"/>
      <c r="AD9" s="91"/>
      <c r="AE9" s="8">
        <f t="shared" si="0"/>
        <v>68.400000000000006</v>
      </c>
      <c r="AF9" s="29"/>
    </row>
    <row r="10" spans="1:32" ht="16.5">
      <c r="A10" s="3" t="s">
        <v>343</v>
      </c>
      <c r="B10" s="5">
        <v>89</v>
      </c>
      <c r="C10" s="6">
        <v>91</v>
      </c>
      <c r="D10" s="6">
        <v>95</v>
      </c>
      <c r="E10" s="5">
        <v>86</v>
      </c>
      <c r="F10" s="5">
        <v>85</v>
      </c>
      <c r="G10" s="91"/>
      <c r="H10" s="91" t="s">
        <v>442</v>
      </c>
      <c r="I10" s="91"/>
      <c r="J10" s="91" t="s">
        <v>442</v>
      </c>
      <c r="K10" s="91" t="s">
        <v>442</v>
      </c>
      <c r="L10" s="91"/>
      <c r="M10" s="91" t="s">
        <v>442</v>
      </c>
      <c r="N10" s="91"/>
      <c r="O10" s="91" t="s">
        <v>442</v>
      </c>
      <c r="P10" s="91" t="s">
        <v>442</v>
      </c>
      <c r="Q10" s="91" t="s">
        <v>442</v>
      </c>
      <c r="R10" s="91" t="s">
        <v>442</v>
      </c>
      <c r="S10" s="91"/>
      <c r="T10" s="91"/>
      <c r="U10" s="91" t="s">
        <v>442</v>
      </c>
      <c r="V10" s="91"/>
      <c r="W10" s="91"/>
      <c r="X10" s="91" t="s">
        <v>442</v>
      </c>
      <c r="Y10" s="91" t="s">
        <v>442</v>
      </c>
      <c r="Z10" s="91" t="s">
        <v>442</v>
      </c>
      <c r="AA10" s="91"/>
      <c r="AB10" s="91" t="s">
        <v>442</v>
      </c>
      <c r="AC10" s="91"/>
      <c r="AD10" s="91" t="s">
        <v>442</v>
      </c>
      <c r="AE10" s="8">
        <f t="shared" si="0"/>
        <v>89.2</v>
      </c>
      <c r="AF10" s="29"/>
    </row>
    <row r="11" spans="1:32" ht="16.5">
      <c r="A11" s="3" t="s">
        <v>115</v>
      </c>
      <c r="B11" s="4">
        <v>67</v>
      </c>
      <c r="C11" s="4">
        <v>74</v>
      </c>
      <c r="D11" s="4">
        <v>50</v>
      </c>
      <c r="E11" s="4">
        <v>40</v>
      </c>
      <c r="F11" s="4">
        <v>62</v>
      </c>
      <c r="G11" s="91"/>
      <c r="H11" s="91"/>
      <c r="I11" s="91"/>
      <c r="J11" s="91"/>
      <c r="K11" s="91"/>
      <c r="L11" s="91"/>
      <c r="M11" s="91"/>
      <c r="N11" s="91"/>
      <c r="O11" s="91"/>
      <c r="P11" s="91" t="s">
        <v>442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 t="s">
        <v>442</v>
      </c>
      <c r="AC11" s="91"/>
      <c r="AD11" s="91"/>
      <c r="AE11" s="8">
        <f t="shared" si="0"/>
        <v>58.6</v>
      </c>
      <c r="AF11" s="29"/>
    </row>
    <row r="12" spans="1:32" ht="16.5">
      <c r="A12" s="3" t="s">
        <v>333</v>
      </c>
      <c r="B12" s="4">
        <v>67</v>
      </c>
      <c r="C12" s="4">
        <v>64</v>
      </c>
      <c r="D12" s="4">
        <v>48</v>
      </c>
      <c r="E12" s="4">
        <v>39</v>
      </c>
      <c r="F12" s="4">
        <v>60</v>
      </c>
      <c r="G12" s="91"/>
      <c r="H12" s="91"/>
      <c r="I12" s="91"/>
      <c r="J12" s="91"/>
      <c r="K12" s="91"/>
      <c r="L12" s="91"/>
      <c r="M12" s="91"/>
      <c r="N12" s="91" t="s">
        <v>442</v>
      </c>
      <c r="O12" s="91"/>
      <c r="P12" s="91" t="s">
        <v>442</v>
      </c>
      <c r="Q12" s="91"/>
      <c r="R12" s="91"/>
      <c r="S12" s="91"/>
      <c r="T12" s="91" t="s">
        <v>442</v>
      </c>
      <c r="U12" s="91"/>
      <c r="V12" s="91"/>
      <c r="W12" s="91"/>
      <c r="X12" s="91"/>
      <c r="Y12" s="91"/>
      <c r="Z12" s="91"/>
      <c r="AA12" s="91"/>
      <c r="AB12" s="91" t="s">
        <v>442</v>
      </c>
      <c r="AC12" s="91"/>
      <c r="AD12" s="91"/>
      <c r="AE12" s="8">
        <f t="shared" si="0"/>
        <v>55.6</v>
      </c>
      <c r="AF12" s="29"/>
    </row>
    <row r="13" spans="1:32" ht="16.5">
      <c r="A13" s="3" t="s">
        <v>204</v>
      </c>
      <c r="B13" s="4">
        <v>68</v>
      </c>
      <c r="C13" s="4">
        <v>68</v>
      </c>
      <c r="D13" s="4">
        <v>52</v>
      </c>
      <c r="E13" s="4">
        <v>41</v>
      </c>
      <c r="F13" s="4">
        <v>69</v>
      </c>
      <c r="G13" s="91"/>
      <c r="H13" s="91"/>
      <c r="I13" s="91"/>
      <c r="J13" s="91"/>
      <c r="K13" s="91"/>
      <c r="L13" s="91"/>
      <c r="M13" s="91"/>
      <c r="N13" s="91"/>
      <c r="O13" s="91" t="s">
        <v>442</v>
      </c>
      <c r="P13" s="91" t="s">
        <v>442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 t="s">
        <v>442</v>
      </c>
      <c r="AC13" s="91"/>
      <c r="AD13" s="91"/>
      <c r="AE13" s="8">
        <f t="shared" si="0"/>
        <v>59.6</v>
      </c>
      <c r="AF13" s="29"/>
    </row>
    <row r="14" spans="1:32" ht="16.5">
      <c r="A14" s="3" t="s">
        <v>192</v>
      </c>
      <c r="B14" s="4">
        <v>22</v>
      </c>
      <c r="C14" s="4">
        <v>16</v>
      </c>
      <c r="D14" s="4">
        <v>72</v>
      </c>
      <c r="E14" s="4">
        <v>76</v>
      </c>
      <c r="F14" s="4">
        <v>75</v>
      </c>
      <c r="G14" s="91"/>
      <c r="H14" s="91" t="s">
        <v>442</v>
      </c>
      <c r="I14" s="91" t="s">
        <v>442</v>
      </c>
      <c r="J14" s="91" t="s">
        <v>442</v>
      </c>
      <c r="K14" s="91"/>
      <c r="L14" s="91" t="s">
        <v>442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 t="s">
        <v>442</v>
      </c>
      <c r="AA14" s="91"/>
      <c r="AB14" s="91" t="s">
        <v>442</v>
      </c>
      <c r="AC14" s="91"/>
      <c r="AD14" s="91"/>
      <c r="AE14" s="8">
        <f t="shared" si="0"/>
        <v>52.2</v>
      </c>
      <c r="AF14" s="29"/>
    </row>
    <row r="15" spans="1:32" ht="16.5">
      <c r="A15" s="3" t="s">
        <v>377</v>
      </c>
      <c r="B15" s="4">
        <v>62</v>
      </c>
      <c r="C15" s="4">
        <v>67</v>
      </c>
      <c r="D15" s="4">
        <v>24</v>
      </c>
      <c r="E15" s="4">
        <v>22</v>
      </c>
      <c r="F15" s="4">
        <v>41</v>
      </c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 t="s">
        <v>442</v>
      </c>
      <c r="R15" s="91"/>
      <c r="S15" s="91"/>
      <c r="T15" s="91"/>
      <c r="U15" s="91" t="s">
        <v>442</v>
      </c>
      <c r="V15" s="91"/>
      <c r="W15" s="91"/>
      <c r="X15" s="91"/>
      <c r="Y15" s="91"/>
      <c r="Z15" s="91"/>
      <c r="AA15" s="91"/>
      <c r="AB15" s="91"/>
      <c r="AC15" s="91" t="s">
        <v>442</v>
      </c>
      <c r="AD15" s="91"/>
      <c r="AE15" s="8">
        <f t="shared" si="0"/>
        <v>43.2</v>
      </c>
      <c r="AF15" s="29"/>
    </row>
    <row r="16" spans="1:32" ht="16.5">
      <c r="A16" s="3" t="s">
        <v>157</v>
      </c>
      <c r="B16" s="4">
        <v>56</v>
      </c>
      <c r="C16" s="4">
        <v>57</v>
      </c>
      <c r="D16" s="4">
        <v>44</v>
      </c>
      <c r="E16" s="4">
        <v>41</v>
      </c>
      <c r="F16" s="4">
        <v>50</v>
      </c>
      <c r="G16" s="91"/>
      <c r="H16" s="91"/>
      <c r="I16" s="91"/>
      <c r="J16" s="91" t="s">
        <v>442</v>
      </c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 t="s">
        <v>442</v>
      </c>
      <c r="Z16" s="91"/>
      <c r="AA16" s="91"/>
      <c r="AB16" s="91"/>
      <c r="AC16" s="91"/>
      <c r="AD16" s="91"/>
      <c r="AE16" s="8">
        <f t="shared" si="0"/>
        <v>49.6</v>
      </c>
      <c r="AF16" s="29"/>
    </row>
    <row r="17" spans="1:32" ht="16.5">
      <c r="A17" s="3" t="s">
        <v>248</v>
      </c>
      <c r="B17" s="4">
        <v>61</v>
      </c>
      <c r="C17" s="4">
        <v>70</v>
      </c>
      <c r="D17" s="4">
        <v>63</v>
      </c>
      <c r="E17" s="4">
        <v>50</v>
      </c>
      <c r="F17" s="4">
        <v>71</v>
      </c>
      <c r="G17" s="91"/>
      <c r="H17" s="91"/>
      <c r="I17" s="91"/>
      <c r="J17" s="91"/>
      <c r="K17" s="91"/>
      <c r="L17" s="91"/>
      <c r="M17" s="91"/>
      <c r="N17" s="91"/>
      <c r="O17" s="91" t="s">
        <v>442</v>
      </c>
      <c r="P17" s="91" t="s">
        <v>442</v>
      </c>
      <c r="Q17" s="91"/>
      <c r="R17" s="91"/>
      <c r="S17" s="91"/>
      <c r="T17" s="91"/>
      <c r="U17" s="91" t="s">
        <v>442</v>
      </c>
      <c r="V17" s="91"/>
      <c r="W17" s="91"/>
      <c r="X17" s="91"/>
      <c r="Y17" s="91"/>
      <c r="Z17" s="91"/>
      <c r="AA17" s="91"/>
      <c r="AB17" s="91" t="s">
        <v>442</v>
      </c>
      <c r="AC17" s="91"/>
      <c r="AD17" s="91"/>
      <c r="AE17" s="8">
        <f t="shared" si="0"/>
        <v>63</v>
      </c>
      <c r="AF17" s="29"/>
    </row>
    <row r="18" spans="1:32" ht="16.5">
      <c r="A18" s="3" t="s">
        <v>240</v>
      </c>
      <c r="B18" s="4">
        <v>73</v>
      </c>
      <c r="C18" s="4">
        <v>71</v>
      </c>
      <c r="D18" s="4">
        <v>70</v>
      </c>
      <c r="E18" s="4">
        <v>50</v>
      </c>
      <c r="F18" s="4">
        <v>73</v>
      </c>
      <c r="G18" s="91" t="s">
        <v>442</v>
      </c>
      <c r="H18" s="91" t="s">
        <v>442</v>
      </c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 t="s">
        <v>442</v>
      </c>
      <c r="V18" s="91"/>
      <c r="W18" s="91"/>
      <c r="X18" s="91"/>
      <c r="Y18" s="91"/>
      <c r="Z18" s="91"/>
      <c r="AA18" s="91"/>
      <c r="AB18" s="91"/>
      <c r="AC18" s="91"/>
      <c r="AD18" s="91" t="s">
        <v>442</v>
      </c>
      <c r="AE18" s="8">
        <f t="shared" si="0"/>
        <v>67.400000000000006</v>
      </c>
      <c r="AF18" s="29"/>
    </row>
    <row r="19" spans="1:32" ht="16.5">
      <c r="A19" s="3" t="s">
        <v>90</v>
      </c>
      <c r="B19" s="4">
        <v>78</v>
      </c>
      <c r="C19" s="4">
        <v>77</v>
      </c>
      <c r="D19" s="4">
        <v>61</v>
      </c>
      <c r="E19" s="4">
        <v>54</v>
      </c>
      <c r="F19" s="4">
        <v>73</v>
      </c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 t="s">
        <v>442</v>
      </c>
      <c r="U19" s="91" t="s">
        <v>442</v>
      </c>
      <c r="V19" s="91"/>
      <c r="W19" s="91"/>
      <c r="X19" s="91"/>
      <c r="Y19" s="91"/>
      <c r="Z19" s="91"/>
      <c r="AA19" s="91"/>
      <c r="AB19" s="91"/>
      <c r="AC19" s="91"/>
      <c r="AD19" s="91"/>
      <c r="AE19" s="8">
        <f t="shared" si="0"/>
        <v>68.599999999999994</v>
      </c>
      <c r="AF19" s="29"/>
    </row>
    <row r="20" spans="1:32" ht="16.5">
      <c r="A20" s="3" t="s">
        <v>352</v>
      </c>
      <c r="B20" s="4">
        <v>76</v>
      </c>
      <c r="C20" s="4">
        <v>77</v>
      </c>
      <c r="D20" s="7">
        <v>64</v>
      </c>
      <c r="E20" s="4">
        <v>60</v>
      </c>
      <c r="F20" s="4">
        <v>74</v>
      </c>
      <c r="G20" s="91"/>
      <c r="H20" s="91"/>
      <c r="I20" s="91"/>
      <c r="J20" s="91"/>
      <c r="K20" s="91"/>
      <c r="L20" s="91"/>
      <c r="M20" s="91"/>
      <c r="N20" s="91"/>
      <c r="O20" s="91"/>
      <c r="P20" s="91" t="s">
        <v>442</v>
      </c>
      <c r="Q20" s="91"/>
      <c r="R20" s="91" t="s">
        <v>442</v>
      </c>
      <c r="S20" s="91"/>
      <c r="T20" s="91"/>
      <c r="U20" s="91" t="s">
        <v>442</v>
      </c>
      <c r="V20" s="91"/>
      <c r="W20" s="91"/>
      <c r="X20" s="91"/>
      <c r="Y20" s="91" t="s">
        <v>442</v>
      </c>
      <c r="Z20" s="91"/>
      <c r="AA20" s="91"/>
      <c r="AB20" s="91"/>
      <c r="AC20" s="91" t="s">
        <v>442</v>
      </c>
      <c r="AD20" s="91"/>
      <c r="AE20" s="8">
        <f t="shared" si="0"/>
        <v>70.2</v>
      </c>
      <c r="AF20" s="29"/>
    </row>
    <row r="21" spans="1:32" ht="16.5">
      <c r="A21" s="3" t="s">
        <v>151</v>
      </c>
      <c r="B21" s="4">
        <v>48</v>
      </c>
      <c r="C21" s="4">
        <v>56</v>
      </c>
      <c r="D21" s="4">
        <v>47</v>
      </c>
      <c r="E21" s="4">
        <v>44</v>
      </c>
      <c r="F21" s="4">
        <v>60</v>
      </c>
      <c r="G21" s="91" t="s">
        <v>442</v>
      </c>
      <c r="H21" s="91"/>
      <c r="I21" s="91"/>
      <c r="J21" s="91"/>
      <c r="K21" s="91"/>
      <c r="L21" s="91"/>
      <c r="M21" s="91"/>
      <c r="N21" s="91" t="s">
        <v>442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 t="s">
        <v>442</v>
      </c>
      <c r="AD21" s="91"/>
      <c r="AE21" s="8">
        <f t="shared" si="0"/>
        <v>51</v>
      </c>
      <c r="AF21" s="29"/>
    </row>
    <row r="22" spans="1:32" ht="16.5">
      <c r="A22" s="3" t="s">
        <v>68</v>
      </c>
      <c r="B22" s="4">
        <v>67</v>
      </c>
      <c r="C22" s="5">
        <v>81</v>
      </c>
      <c r="D22" s="4">
        <v>67</v>
      </c>
      <c r="E22" s="4">
        <v>66</v>
      </c>
      <c r="F22" s="4">
        <v>59</v>
      </c>
      <c r="G22" s="91"/>
      <c r="H22" s="91"/>
      <c r="I22" s="91"/>
      <c r="J22" s="91"/>
      <c r="K22" s="91"/>
      <c r="L22" s="91" t="s">
        <v>442</v>
      </c>
      <c r="M22" s="91" t="s">
        <v>442</v>
      </c>
      <c r="N22" s="91" t="s">
        <v>442</v>
      </c>
      <c r="O22" s="91"/>
      <c r="P22" s="91"/>
      <c r="Q22" s="91" t="s">
        <v>442</v>
      </c>
      <c r="R22" s="91" t="s">
        <v>442</v>
      </c>
      <c r="S22" s="91"/>
      <c r="T22" s="91" t="s">
        <v>442</v>
      </c>
      <c r="U22" s="91"/>
      <c r="V22" s="91" t="s">
        <v>442</v>
      </c>
      <c r="W22" s="91"/>
      <c r="X22" s="91"/>
      <c r="Y22" s="91" t="s">
        <v>442</v>
      </c>
      <c r="Z22" s="91"/>
      <c r="AA22" s="91"/>
      <c r="AB22" s="91"/>
      <c r="AC22" s="91"/>
      <c r="AD22" s="91"/>
      <c r="AE22" s="8">
        <f t="shared" si="0"/>
        <v>68</v>
      </c>
      <c r="AF22" s="29"/>
    </row>
    <row r="23" spans="1:32" ht="16.5">
      <c r="A23" s="3" t="s">
        <v>70</v>
      </c>
      <c r="B23" s="4">
        <v>68</v>
      </c>
      <c r="C23" s="4">
        <v>51</v>
      </c>
      <c r="D23" s="5">
        <v>82</v>
      </c>
      <c r="E23" s="4">
        <v>76</v>
      </c>
      <c r="F23" s="4">
        <v>65</v>
      </c>
      <c r="G23" s="91"/>
      <c r="H23" s="91" t="s">
        <v>442</v>
      </c>
      <c r="I23" s="91" t="s">
        <v>442</v>
      </c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 t="s">
        <v>442</v>
      </c>
      <c r="V23" s="91"/>
      <c r="W23" s="91"/>
      <c r="X23" s="91"/>
      <c r="Y23" s="91" t="s">
        <v>442</v>
      </c>
      <c r="Z23" s="91" t="s">
        <v>442</v>
      </c>
      <c r="AA23" s="91"/>
      <c r="AB23" s="91" t="s">
        <v>442</v>
      </c>
      <c r="AC23" s="91"/>
      <c r="AD23" s="91"/>
      <c r="AE23" s="8">
        <f t="shared" si="0"/>
        <v>68.400000000000006</v>
      </c>
      <c r="AF23" s="29"/>
    </row>
    <row r="24" spans="1:32" ht="16.5">
      <c r="A24" s="3" t="s">
        <v>129</v>
      </c>
      <c r="B24" s="4">
        <v>55</v>
      </c>
      <c r="C24" s="4">
        <v>67</v>
      </c>
      <c r="D24" s="4">
        <v>68</v>
      </c>
      <c r="E24" s="4">
        <v>41</v>
      </c>
      <c r="F24" s="4">
        <v>47</v>
      </c>
      <c r="G24" s="91"/>
      <c r="H24" s="91" t="s">
        <v>442</v>
      </c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 t="s">
        <v>442</v>
      </c>
      <c r="V24" s="91"/>
      <c r="W24" s="91"/>
      <c r="X24" s="91"/>
      <c r="Y24" s="91"/>
      <c r="Z24" s="91" t="s">
        <v>442</v>
      </c>
      <c r="AA24" s="91"/>
      <c r="AB24" s="91" t="s">
        <v>442</v>
      </c>
      <c r="AC24" s="91"/>
      <c r="AD24" s="91"/>
      <c r="AE24" s="8">
        <f t="shared" si="0"/>
        <v>55.6</v>
      </c>
      <c r="AF24" s="29"/>
    </row>
    <row r="25" spans="1:32" ht="16.5">
      <c r="A25" s="3" t="s">
        <v>210</v>
      </c>
      <c r="B25" s="4">
        <v>43</v>
      </c>
      <c r="C25" s="4">
        <v>46</v>
      </c>
      <c r="D25" s="4">
        <v>65</v>
      </c>
      <c r="E25" s="4">
        <v>59</v>
      </c>
      <c r="F25" s="4">
        <v>50</v>
      </c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 t="s">
        <v>442</v>
      </c>
      <c r="S25" s="91"/>
      <c r="T25" s="91" t="s">
        <v>442</v>
      </c>
      <c r="U25" s="91"/>
      <c r="V25" s="91"/>
      <c r="W25" s="91"/>
      <c r="X25" s="91"/>
      <c r="Y25" s="91"/>
      <c r="Z25" s="91"/>
      <c r="AA25" s="91"/>
      <c r="AB25" s="91" t="s">
        <v>442</v>
      </c>
      <c r="AC25" s="91"/>
      <c r="AD25" s="91"/>
      <c r="AE25" s="8">
        <f t="shared" si="0"/>
        <v>52.6</v>
      </c>
      <c r="AF25" s="29"/>
    </row>
    <row r="26" spans="1:32" ht="16.5">
      <c r="A26" s="3" t="s">
        <v>170</v>
      </c>
      <c r="B26" s="4">
        <v>42</v>
      </c>
      <c r="C26" s="4">
        <v>27</v>
      </c>
      <c r="D26" s="6">
        <v>99</v>
      </c>
      <c r="E26" s="6">
        <v>92</v>
      </c>
      <c r="F26" s="5">
        <v>89</v>
      </c>
      <c r="G26" s="91" t="s">
        <v>442</v>
      </c>
      <c r="H26" s="91" t="s">
        <v>442</v>
      </c>
      <c r="I26" s="91" t="s">
        <v>442</v>
      </c>
      <c r="J26" s="91" t="s">
        <v>442</v>
      </c>
      <c r="K26" s="91" t="s">
        <v>442</v>
      </c>
      <c r="L26" s="91" t="s">
        <v>442</v>
      </c>
      <c r="M26" s="91" t="s">
        <v>442</v>
      </c>
      <c r="N26" s="91"/>
      <c r="O26" s="91" t="s">
        <v>442</v>
      </c>
      <c r="P26" s="91"/>
      <c r="Q26" s="91"/>
      <c r="R26" s="91"/>
      <c r="S26" s="91"/>
      <c r="T26" s="91"/>
      <c r="U26" s="91"/>
      <c r="V26" s="91" t="s">
        <v>442</v>
      </c>
      <c r="W26" s="91"/>
      <c r="X26" s="91"/>
      <c r="Y26" s="91" t="s">
        <v>442</v>
      </c>
      <c r="Z26" s="91" t="s">
        <v>442</v>
      </c>
      <c r="AA26" s="91"/>
      <c r="AB26" s="91" t="s">
        <v>442</v>
      </c>
      <c r="AC26" s="91"/>
      <c r="AD26" s="91" t="s">
        <v>442</v>
      </c>
      <c r="AE26" s="8">
        <f t="shared" si="0"/>
        <v>69.8</v>
      </c>
      <c r="AF26" s="29"/>
    </row>
    <row r="27" spans="1:32" ht="16.5">
      <c r="A27" s="3" t="s">
        <v>84</v>
      </c>
      <c r="B27" s="4">
        <v>39</v>
      </c>
      <c r="C27" s="4">
        <v>33</v>
      </c>
      <c r="D27" s="4">
        <v>71</v>
      </c>
      <c r="E27" s="5">
        <v>82</v>
      </c>
      <c r="F27" s="4">
        <v>40</v>
      </c>
      <c r="G27" s="91"/>
      <c r="H27" s="91" t="s">
        <v>442</v>
      </c>
      <c r="I27" s="91"/>
      <c r="J27" s="91"/>
      <c r="K27" s="91" t="s">
        <v>442</v>
      </c>
      <c r="L27" s="91" t="s">
        <v>442</v>
      </c>
      <c r="M27" s="91" t="s">
        <v>442</v>
      </c>
      <c r="N27" s="91"/>
      <c r="O27" s="91" t="s">
        <v>442</v>
      </c>
      <c r="P27" s="91"/>
      <c r="Q27" s="91"/>
      <c r="R27" s="91"/>
      <c r="S27" s="91"/>
      <c r="T27" s="91"/>
      <c r="U27" s="91"/>
      <c r="V27" s="91" t="s">
        <v>442</v>
      </c>
      <c r="W27" s="91"/>
      <c r="X27" s="91"/>
      <c r="Y27" s="91" t="s">
        <v>442</v>
      </c>
      <c r="Z27" s="91"/>
      <c r="AA27" s="91"/>
      <c r="AB27" s="91"/>
      <c r="AC27" s="91"/>
      <c r="AD27" s="91" t="s">
        <v>442</v>
      </c>
      <c r="AE27" s="8">
        <f t="shared" si="0"/>
        <v>53</v>
      </c>
      <c r="AF27" s="29"/>
    </row>
    <row r="28" spans="1:32" ht="16.5">
      <c r="A28" s="3" t="s">
        <v>149</v>
      </c>
      <c r="B28" s="4">
        <v>59</v>
      </c>
      <c r="C28" s="4">
        <v>64</v>
      </c>
      <c r="D28" s="4">
        <v>33</v>
      </c>
      <c r="E28" s="4">
        <v>34</v>
      </c>
      <c r="F28" s="4">
        <v>39</v>
      </c>
      <c r="G28" s="91"/>
      <c r="H28" s="91"/>
      <c r="I28" s="91"/>
      <c r="J28" s="91"/>
      <c r="K28" s="91"/>
      <c r="L28" s="91"/>
      <c r="M28" s="91"/>
      <c r="N28" s="91"/>
      <c r="O28" s="91"/>
      <c r="P28" s="91" t="s">
        <v>442</v>
      </c>
      <c r="Q28" s="91"/>
      <c r="R28" s="91"/>
      <c r="S28" s="91"/>
      <c r="T28" s="91" t="s">
        <v>442</v>
      </c>
      <c r="U28" s="91"/>
      <c r="V28" s="91"/>
      <c r="W28" s="91"/>
      <c r="X28" s="91"/>
      <c r="Y28" s="91"/>
      <c r="Z28" s="91"/>
      <c r="AA28" s="91"/>
      <c r="AB28" s="91" t="s">
        <v>442</v>
      </c>
      <c r="AC28" s="91"/>
      <c r="AD28" s="91"/>
      <c r="AE28" s="8">
        <f t="shared" si="0"/>
        <v>45.8</v>
      </c>
      <c r="AF28" s="29"/>
    </row>
    <row r="29" spans="1:32" ht="16.5">
      <c r="A29" s="3" t="s">
        <v>233</v>
      </c>
      <c r="B29" s="4">
        <v>40</v>
      </c>
      <c r="C29" s="4">
        <v>32</v>
      </c>
      <c r="D29" s="4">
        <v>74</v>
      </c>
      <c r="E29" s="5">
        <v>85</v>
      </c>
      <c r="F29" s="4">
        <v>70</v>
      </c>
      <c r="G29" s="91"/>
      <c r="H29" s="91"/>
      <c r="I29" s="91" t="s">
        <v>442</v>
      </c>
      <c r="J29" s="91" t="s">
        <v>442</v>
      </c>
      <c r="K29" s="91"/>
      <c r="L29" s="91"/>
      <c r="M29" s="91" t="s">
        <v>442</v>
      </c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 t="s">
        <v>442</v>
      </c>
      <c r="AC29" s="91"/>
      <c r="AD29" s="91"/>
      <c r="AE29" s="8">
        <f t="shared" si="0"/>
        <v>60.2</v>
      </c>
      <c r="AF29" s="29"/>
    </row>
    <row r="30" spans="1:32" ht="16.5">
      <c r="A30" s="3" t="s">
        <v>359</v>
      </c>
      <c r="B30" s="4">
        <v>69</v>
      </c>
      <c r="C30" s="4">
        <v>71</v>
      </c>
      <c r="D30" s="4">
        <v>65</v>
      </c>
      <c r="E30" s="4">
        <v>52</v>
      </c>
      <c r="F30" s="4">
        <v>65</v>
      </c>
      <c r="G30" s="91"/>
      <c r="H30" s="91"/>
      <c r="I30" s="91"/>
      <c r="J30" s="91"/>
      <c r="K30" s="91"/>
      <c r="L30" s="91"/>
      <c r="M30" s="91"/>
      <c r="N30" s="91"/>
      <c r="O30" s="91"/>
      <c r="P30" s="91" t="s">
        <v>442</v>
      </c>
      <c r="Q30" s="91"/>
      <c r="R30" s="91"/>
      <c r="S30" s="91"/>
      <c r="T30" s="91" t="s">
        <v>442</v>
      </c>
      <c r="U30" s="91" t="s">
        <v>442</v>
      </c>
      <c r="V30" s="91"/>
      <c r="W30" s="91"/>
      <c r="X30" s="91"/>
      <c r="Y30" s="91"/>
      <c r="Z30" s="91"/>
      <c r="AA30" s="91"/>
      <c r="AB30" s="91" t="s">
        <v>442</v>
      </c>
      <c r="AC30" s="91" t="s">
        <v>442</v>
      </c>
      <c r="AD30" s="91"/>
      <c r="AE30" s="8">
        <f t="shared" si="0"/>
        <v>64.400000000000006</v>
      </c>
      <c r="AF30" s="29"/>
    </row>
    <row r="31" spans="1:32" ht="16.5">
      <c r="A31" s="3" t="s">
        <v>113</v>
      </c>
      <c r="B31" s="4">
        <v>65</v>
      </c>
      <c r="C31" s="4">
        <v>67</v>
      </c>
      <c r="D31" s="4">
        <v>66</v>
      </c>
      <c r="E31" s="4">
        <v>53</v>
      </c>
      <c r="F31" s="4">
        <v>70</v>
      </c>
      <c r="G31" s="91"/>
      <c r="H31" s="91"/>
      <c r="I31" s="91"/>
      <c r="J31" s="91"/>
      <c r="K31" s="91"/>
      <c r="L31" s="91"/>
      <c r="M31" s="91"/>
      <c r="N31" s="91"/>
      <c r="O31" s="91" t="s">
        <v>442</v>
      </c>
      <c r="P31" s="91"/>
      <c r="Q31" s="91"/>
      <c r="R31" s="91"/>
      <c r="S31" s="91" t="s">
        <v>442</v>
      </c>
      <c r="T31" s="91"/>
      <c r="U31" s="91" t="s">
        <v>442</v>
      </c>
      <c r="V31" s="91"/>
      <c r="W31" s="91"/>
      <c r="X31" s="91"/>
      <c r="Y31" s="91"/>
      <c r="Z31" s="91"/>
      <c r="AA31" s="91"/>
      <c r="AB31" s="91"/>
      <c r="AC31" s="91" t="s">
        <v>442</v>
      </c>
      <c r="AD31" s="91"/>
      <c r="AE31" s="8">
        <f t="shared" si="0"/>
        <v>64.2</v>
      </c>
      <c r="AF31" s="29"/>
    </row>
    <row r="32" spans="1:32" ht="16.5">
      <c r="A32" s="3" t="s">
        <v>320</v>
      </c>
      <c r="B32" s="4">
        <v>36</v>
      </c>
      <c r="C32" s="4">
        <v>28</v>
      </c>
      <c r="D32" s="4">
        <v>69</v>
      </c>
      <c r="E32" s="5">
        <v>83</v>
      </c>
      <c r="F32" s="4">
        <v>47</v>
      </c>
      <c r="G32" s="91"/>
      <c r="H32" s="91" t="s">
        <v>442</v>
      </c>
      <c r="I32" s="91"/>
      <c r="J32" s="91"/>
      <c r="K32" s="91"/>
      <c r="L32" s="91"/>
      <c r="M32" s="91" t="s">
        <v>442</v>
      </c>
      <c r="N32" s="91" t="s">
        <v>442</v>
      </c>
      <c r="O32" s="91"/>
      <c r="P32" s="91"/>
      <c r="Q32" s="91"/>
      <c r="R32" s="91"/>
      <c r="S32" s="91"/>
      <c r="T32" s="91"/>
      <c r="U32" s="91"/>
      <c r="V32" s="91" t="s">
        <v>442</v>
      </c>
      <c r="W32" s="91"/>
      <c r="X32" s="91"/>
      <c r="Y32" s="91" t="s">
        <v>442</v>
      </c>
      <c r="Z32" s="91" t="s">
        <v>442</v>
      </c>
      <c r="AA32" s="91"/>
      <c r="AB32" s="91"/>
      <c r="AC32" s="91"/>
      <c r="AD32" s="91"/>
      <c r="AE32" s="8">
        <f t="shared" si="0"/>
        <v>52.6</v>
      </c>
      <c r="AF32" s="29"/>
    </row>
    <row r="33" spans="1:32" ht="16.5">
      <c r="A33" s="3" t="s">
        <v>283</v>
      </c>
      <c r="B33" s="4">
        <v>79</v>
      </c>
      <c r="C33" s="4">
        <v>72</v>
      </c>
      <c r="D33" s="4">
        <v>67</v>
      </c>
      <c r="E33" s="4">
        <v>65</v>
      </c>
      <c r="F33" s="4">
        <v>54</v>
      </c>
      <c r="G33" s="91"/>
      <c r="H33" s="91"/>
      <c r="I33" s="91"/>
      <c r="J33" s="91"/>
      <c r="K33" s="91"/>
      <c r="L33" s="91"/>
      <c r="M33" s="91" t="s">
        <v>442</v>
      </c>
      <c r="N33" s="91" t="s">
        <v>442</v>
      </c>
      <c r="O33" s="91"/>
      <c r="P33" s="91" t="s">
        <v>442</v>
      </c>
      <c r="Q33" s="91" t="s">
        <v>442</v>
      </c>
      <c r="R33" s="91"/>
      <c r="S33" s="91"/>
      <c r="T33" s="91" t="s">
        <v>442</v>
      </c>
      <c r="U33" s="91" t="s">
        <v>442</v>
      </c>
      <c r="V33" s="91"/>
      <c r="W33" s="91"/>
      <c r="X33" s="91"/>
      <c r="Y33" s="91"/>
      <c r="Z33" s="91"/>
      <c r="AA33" s="91"/>
      <c r="AB33" s="91" t="s">
        <v>442</v>
      </c>
      <c r="AC33" s="91" t="s">
        <v>442</v>
      </c>
      <c r="AD33" s="91"/>
      <c r="AE33" s="8">
        <f t="shared" si="0"/>
        <v>67.400000000000006</v>
      </c>
      <c r="AF33" s="29"/>
    </row>
    <row r="34" spans="1:32" ht="16.5">
      <c r="A34" s="3" t="s">
        <v>356</v>
      </c>
      <c r="B34" s="4">
        <v>75</v>
      </c>
      <c r="C34" s="4">
        <v>79</v>
      </c>
      <c r="D34" s="4">
        <v>50</v>
      </c>
      <c r="E34" s="4">
        <v>47</v>
      </c>
      <c r="F34" s="4">
        <v>52</v>
      </c>
      <c r="G34" s="91"/>
      <c r="H34" s="91"/>
      <c r="I34" s="91"/>
      <c r="J34" s="91"/>
      <c r="K34" s="91"/>
      <c r="L34" s="91"/>
      <c r="M34" s="91"/>
      <c r="N34" s="91"/>
      <c r="O34" s="91"/>
      <c r="P34" s="91" t="s">
        <v>442</v>
      </c>
      <c r="Q34" s="91"/>
      <c r="R34" s="91"/>
      <c r="S34" s="91" t="s">
        <v>442</v>
      </c>
      <c r="T34" s="91"/>
      <c r="U34" s="91"/>
      <c r="V34" s="91"/>
      <c r="W34" s="91"/>
      <c r="X34" s="91"/>
      <c r="Y34" s="91" t="s">
        <v>442</v>
      </c>
      <c r="Z34" s="91"/>
      <c r="AA34" s="91"/>
      <c r="AB34" s="91"/>
      <c r="AC34" s="91" t="s">
        <v>442</v>
      </c>
      <c r="AD34" s="91"/>
      <c r="AE34" s="8">
        <f t="shared" si="0"/>
        <v>60.6</v>
      </c>
      <c r="AF34" s="29"/>
    </row>
    <row r="35" spans="1:32" ht="16.5">
      <c r="A35" s="3" t="s">
        <v>309</v>
      </c>
      <c r="B35" s="4">
        <v>78</v>
      </c>
      <c r="C35" s="5">
        <v>85</v>
      </c>
      <c r="D35" s="4">
        <v>68</v>
      </c>
      <c r="E35" s="4">
        <v>57</v>
      </c>
      <c r="F35" s="4">
        <v>70</v>
      </c>
      <c r="G35" s="91"/>
      <c r="H35" s="91"/>
      <c r="I35" s="91"/>
      <c r="J35" s="91"/>
      <c r="K35" s="91"/>
      <c r="L35" s="91"/>
      <c r="M35" s="91"/>
      <c r="N35" s="91" t="s">
        <v>442</v>
      </c>
      <c r="O35" s="91"/>
      <c r="P35" s="91" t="s">
        <v>442</v>
      </c>
      <c r="Q35" s="91" t="s">
        <v>442</v>
      </c>
      <c r="R35" s="91"/>
      <c r="S35" s="91" t="s">
        <v>442</v>
      </c>
      <c r="T35" s="91"/>
      <c r="U35" s="91"/>
      <c r="V35" s="91" t="s">
        <v>442</v>
      </c>
      <c r="W35" s="91"/>
      <c r="X35" s="91"/>
      <c r="Y35" s="91"/>
      <c r="Z35" s="91"/>
      <c r="AA35" s="91"/>
      <c r="AB35" s="91"/>
      <c r="AC35" s="91" t="s">
        <v>442</v>
      </c>
      <c r="AD35" s="91"/>
      <c r="AE35" s="8">
        <f t="shared" si="0"/>
        <v>71.599999999999994</v>
      </c>
      <c r="AF35" s="29"/>
    </row>
    <row r="36" spans="1:32" ht="16.5">
      <c r="A36" s="3" t="s">
        <v>32</v>
      </c>
      <c r="B36" s="6">
        <v>100</v>
      </c>
      <c r="C36" s="6">
        <v>98</v>
      </c>
      <c r="D36" s="5">
        <v>82</v>
      </c>
      <c r="E36" s="4">
        <v>65</v>
      </c>
      <c r="F36" s="6">
        <v>96</v>
      </c>
      <c r="G36" s="91"/>
      <c r="H36" s="91" t="s">
        <v>442</v>
      </c>
      <c r="I36" s="91"/>
      <c r="J36" s="91"/>
      <c r="K36" s="91"/>
      <c r="L36" s="91"/>
      <c r="M36" s="91" t="s">
        <v>442</v>
      </c>
      <c r="N36" s="91" t="s">
        <v>442</v>
      </c>
      <c r="O36" s="91" t="s">
        <v>442</v>
      </c>
      <c r="P36" s="91" t="s">
        <v>442</v>
      </c>
      <c r="Q36" s="91" t="s">
        <v>442</v>
      </c>
      <c r="R36" s="91"/>
      <c r="S36" s="91" t="s">
        <v>442</v>
      </c>
      <c r="T36" s="91" t="s">
        <v>442</v>
      </c>
      <c r="U36" s="91" t="s">
        <v>442</v>
      </c>
      <c r="V36" s="91" t="s">
        <v>442</v>
      </c>
      <c r="W36" s="91"/>
      <c r="X36" s="91"/>
      <c r="Y36" s="91" t="s">
        <v>442</v>
      </c>
      <c r="Z36" s="91" t="s">
        <v>442</v>
      </c>
      <c r="AA36" s="91"/>
      <c r="AB36" s="91" t="s">
        <v>442</v>
      </c>
      <c r="AC36" s="91" t="s">
        <v>442</v>
      </c>
      <c r="AD36" s="91" t="s">
        <v>442</v>
      </c>
      <c r="AE36" s="8">
        <f t="shared" si="0"/>
        <v>88.2</v>
      </c>
      <c r="AF36" s="29"/>
    </row>
    <row r="37" spans="1:32" ht="16.5">
      <c r="A37" s="3" t="s">
        <v>232</v>
      </c>
      <c r="B37" s="4">
        <v>79</v>
      </c>
      <c r="C37" s="5">
        <v>81</v>
      </c>
      <c r="D37" s="4">
        <v>72</v>
      </c>
      <c r="E37" s="4">
        <v>55</v>
      </c>
      <c r="F37" s="4">
        <v>74</v>
      </c>
      <c r="G37" s="91"/>
      <c r="H37" s="91" t="s">
        <v>442</v>
      </c>
      <c r="I37" s="91"/>
      <c r="J37" s="91"/>
      <c r="K37" s="91" t="s">
        <v>442</v>
      </c>
      <c r="L37" s="91"/>
      <c r="M37" s="91"/>
      <c r="N37" s="91"/>
      <c r="O37" s="91"/>
      <c r="P37" s="91"/>
      <c r="Q37" s="91"/>
      <c r="R37" s="91" t="s">
        <v>442</v>
      </c>
      <c r="S37" s="91"/>
      <c r="T37" s="91"/>
      <c r="U37" s="91" t="s">
        <v>442</v>
      </c>
      <c r="V37" s="91"/>
      <c r="W37" s="91"/>
      <c r="X37" s="91"/>
      <c r="Y37" s="91" t="s">
        <v>442</v>
      </c>
      <c r="Z37" s="91"/>
      <c r="AA37" s="91"/>
      <c r="AB37" s="91"/>
      <c r="AC37" s="91" t="s">
        <v>442</v>
      </c>
      <c r="AD37" s="91"/>
      <c r="AE37" s="8">
        <f t="shared" si="0"/>
        <v>72.2</v>
      </c>
      <c r="AF37" s="29"/>
    </row>
    <row r="38" spans="1:32" ht="16.5">
      <c r="A38" s="3" t="s">
        <v>277</v>
      </c>
      <c r="B38" s="5">
        <v>85</v>
      </c>
      <c r="C38" s="5">
        <v>86</v>
      </c>
      <c r="D38" s="4">
        <v>70</v>
      </c>
      <c r="E38" s="4">
        <v>50</v>
      </c>
      <c r="F38" s="4">
        <v>72</v>
      </c>
      <c r="G38" s="91"/>
      <c r="H38" s="91"/>
      <c r="I38" s="91"/>
      <c r="J38" s="91"/>
      <c r="K38" s="91" t="s">
        <v>442</v>
      </c>
      <c r="L38" s="91"/>
      <c r="M38" s="91"/>
      <c r="N38" s="91"/>
      <c r="O38" s="91"/>
      <c r="P38" s="91"/>
      <c r="Q38" s="91" t="s">
        <v>442</v>
      </c>
      <c r="R38" s="91" t="s">
        <v>442</v>
      </c>
      <c r="S38" s="91"/>
      <c r="T38" s="91" t="s">
        <v>442</v>
      </c>
      <c r="U38" s="91"/>
      <c r="V38" s="91"/>
      <c r="W38" s="91"/>
      <c r="X38" s="91"/>
      <c r="Y38" s="91"/>
      <c r="Z38" s="91" t="s">
        <v>442</v>
      </c>
      <c r="AA38" s="91"/>
      <c r="AB38" s="91"/>
      <c r="AC38" s="91" t="s">
        <v>442</v>
      </c>
      <c r="AD38" s="91"/>
      <c r="AE38" s="8">
        <f t="shared" si="0"/>
        <v>72.599999999999994</v>
      </c>
      <c r="AF38" s="29"/>
    </row>
    <row r="39" spans="1:32" ht="16.5">
      <c r="A39" s="3" t="s">
        <v>65</v>
      </c>
      <c r="B39" s="4">
        <v>41</v>
      </c>
      <c r="C39" s="4">
        <v>31</v>
      </c>
      <c r="D39" s="5">
        <v>85</v>
      </c>
      <c r="E39" s="5">
        <v>82</v>
      </c>
      <c r="F39" s="4">
        <v>64</v>
      </c>
      <c r="G39" s="91"/>
      <c r="H39" s="91" t="s">
        <v>442</v>
      </c>
      <c r="I39" s="91" t="s">
        <v>442</v>
      </c>
      <c r="J39" s="91" t="s">
        <v>442</v>
      </c>
      <c r="K39" s="91" t="s">
        <v>442</v>
      </c>
      <c r="L39" s="91" t="s">
        <v>442</v>
      </c>
      <c r="M39" s="91"/>
      <c r="N39" s="91"/>
      <c r="O39" s="91" t="s">
        <v>442</v>
      </c>
      <c r="P39" s="91"/>
      <c r="Q39" s="91"/>
      <c r="R39" s="91"/>
      <c r="S39" s="91"/>
      <c r="T39" s="91"/>
      <c r="U39" s="91" t="s">
        <v>442</v>
      </c>
      <c r="V39" s="91"/>
      <c r="W39" s="91"/>
      <c r="X39" s="91"/>
      <c r="Y39" s="91" t="s">
        <v>442</v>
      </c>
      <c r="Z39" s="91"/>
      <c r="AA39" s="91"/>
      <c r="AB39" s="91" t="s">
        <v>442</v>
      </c>
      <c r="AC39" s="91"/>
      <c r="AD39" s="91" t="s">
        <v>442</v>
      </c>
      <c r="AE39" s="8">
        <f t="shared" si="0"/>
        <v>60.6</v>
      </c>
      <c r="AF39" s="29"/>
    </row>
    <row r="40" spans="1:32" ht="16.5">
      <c r="A40" s="3" t="s">
        <v>77</v>
      </c>
      <c r="B40" s="4">
        <v>29</v>
      </c>
      <c r="C40" s="4">
        <v>31</v>
      </c>
      <c r="D40" s="4">
        <v>79</v>
      </c>
      <c r="E40" s="5">
        <v>85</v>
      </c>
      <c r="F40" s="4">
        <v>63</v>
      </c>
      <c r="G40" s="91"/>
      <c r="H40" s="91" t="s">
        <v>442</v>
      </c>
      <c r="I40" s="91"/>
      <c r="J40" s="91"/>
      <c r="K40" s="91" t="s">
        <v>442</v>
      </c>
      <c r="L40" s="91"/>
      <c r="M40" s="91" t="s">
        <v>442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 t="s">
        <v>442</v>
      </c>
      <c r="Z40" s="91" t="s">
        <v>442</v>
      </c>
      <c r="AA40" s="91"/>
      <c r="AB40" s="91"/>
      <c r="AC40" s="91"/>
      <c r="AD40" s="91" t="s">
        <v>442</v>
      </c>
      <c r="AE40" s="8">
        <f t="shared" si="0"/>
        <v>57.4</v>
      </c>
      <c r="AF40" s="29"/>
    </row>
    <row r="41" spans="1:32" ht="16.5">
      <c r="A41" s="3" t="s">
        <v>155</v>
      </c>
      <c r="B41" s="4">
        <v>50</v>
      </c>
      <c r="C41" s="4">
        <v>61</v>
      </c>
      <c r="D41" s="4">
        <v>58</v>
      </c>
      <c r="E41" s="4">
        <v>38</v>
      </c>
      <c r="F41" s="4">
        <v>35</v>
      </c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 t="s">
        <v>442</v>
      </c>
      <c r="U41" s="91"/>
      <c r="V41" s="91"/>
      <c r="W41" s="91"/>
      <c r="X41" s="91"/>
      <c r="Y41" s="91"/>
      <c r="Z41" s="91"/>
      <c r="AA41" s="91"/>
      <c r="AB41" s="91" t="s">
        <v>442</v>
      </c>
      <c r="AC41" s="91"/>
      <c r="AD41" s="91"/>
      <c r="AE41" s="8">
        <f t="shared" si="0"/>
        <v>48.4</v>
      </c>
      <c r="AF41" s="29"/>
    </row>
    <row r="42" spans="1:32" ht="16.5">
      <c r="A42" s="3" t="s">
        <v>165</v>
      </c>
      <c r="B42" s="4">
        <v>34</v>
      </c>
      <c r="C42" s="4">
        <v>50</v>
      </c>
      <c r="D42" s="4">
        <v>26</v>
      </c>
      <c r="E42" s="4">
        <v>30</v>
      </c>
      <c r="F42" s="4">
        <v>32</v>
      </c>
      <c r="G42" s="91"/>
      <c r="H42" s="91"/>
      <c r="I42" s="91"/>
      <c r="J42" s="91"/>
      <c r="K42" s="91"/>
      <c r="L42" s="91"/>
      <c r="M42" s="91"/>
      <c r="N42" s="91"/>
      <c r="O42" s="91"/>
      <c r="P42" s="91" t="s">
        <v>442</v>
      </c>
      <c r="Q42" s="91"/>
      <c r="R42" s="91"/>
      <c r="S42" s="91"/>
      <c r="T42" s="91" t="s">
        <v>442</v>
      </c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8">
        <f t="shared" si="0"/>
        <v>34.4</v>
      </c>
      <c r="AF42" s="29"/>
    </row>
    <row r="43" spans="1:32" ht="16.5">
      <c r="A43" s="3" t="s">
        <v>370</v>
      </c>
      <c r="B43" s="4">
        <v>54</v>
      </c>
      <c r="C43" s="5">
        <v>80</v>
      </c>
      <c r="D43" s="4">
        <v>15</v>
      </c>
      <c r="E43" s="4">
        <v>18</v>
      </c>
      <c r="F43" s="4">
        <v>18</v>
      </c>
      <c r="G43" s="91"/>
      <c r="H43" s="91"/>
      <c r="I43" s="91"/>
      <c r="J43" s="91"/>
      <c r="K43" s="91"/>
      <c r="L43" s="91"/>
      <c r="M43" s="91"/>
      <c r="N43" s="91"/>
      <c r="O43" s="91"/>
      <c r="P43" s="91" t="s">
        <v>442</v>
      </c>
      <c r="Q43" s="91"/>
      <c r="R43" s="91"/>
      <c r="S43" s="91"/>
      <c r="T43" s="91" t="s">
        <v>442</v>
      </c>
      <c r="U43" s="91"/>
      <c r="V43" s="91"/>
      <c r="W43" s="91"/>
      <c r="X43" s="91"/>
      <c r="Y43" s="91"/>
      <c r="Z43" s="91"/>
      <c r="AA43" s="91"/>
      <c r="AB43" s="91" t="s">
        <v>442</v>
      </c>
      <c r="AC43" s="91"/>
      <c r="AD43" s="91"/>
      <c r="AE43" s="8">
        <f t="shared" si="0"/>
        <v>37</v>
      </c>
      <c r="AF43" s="29"/>
    </row>
    <row r="44" spans="1:32" ht="16.5">
      <c r="A44" s="3" t="s">
        <v>85</v>
      </c>
      <c r="B44" s="4">
        <v>72</v>
      </c>
      <c r="C44" s="5">
        <v>80</v>
      </c>
      <c r="D44" s="4">
        <v>34</v>
      </c>
      <c r="E44" s="4">
        <v>29</v>
      </c>
      <c r="F44" s="4">
        <v>49</v>
      </c>
      <c r="G44" s="91"/>
      <c r="H44" s="91"/>
      <c r="I44" s="91"/>
      <c r="J44" s="91"/>
      <c r="K44" s="91"/>
      <c r="L44" s="91"/>
      <c r="M44" s="91"/>
      <c r="N44" s="91" t="s">
        <v>442</v>
      </c>
      <c r="O44" s="91"/>
      <c r="P44" s="91" t="s">
        <v>442</v>
      </c>
      <c r="Q44" s="91" t="s">
        <v>442</v>
      </c>
      <c r="R44" s="91"/>
      <c r="S44" s="91"/>
      <c r="T44" s="91"/>
      <c r="U44" s="91"/>
      <c r="V44" s="91" t="s">
        <v>442</v>
      </c>
      <c r="W44" s="91"/>
      <c r="X44" s="91"/>
      <c r="Y44" s="91"/>
      <c r="Z44" s="91" t="s">
        <v>442</v>
      </c>
      <c r="AA44" s="91"/>
      <c r="AB44" s="91" t="s">
        <v>442</v>
      </c>
      <c r="AC44" s="91" t="s">
        <v>442</v>
      </c>
      <c r="AD44" s="91"/>
      <c r="AE44" s="8">
        <f t="shared" si="0"/>
        <v>52.8</v>
      </c>
      <c r="AF44" s="29"/>
    </row>
    <row r="45" spans="1:32" ht="16.5">
      <c r="A45" s="3" t="s">
        <v>298</v>
      </c>
      <c r="B45" s="4">
        <v>31</v>
      </c>
      <c r="C45" s="4">
        <v>42</v>
      </c>
      <c r="D45" s="4">
        <v>66</v>
      </c>
      <c r="E45" s="4">
        <v>73</v>
      </c>
      <c r="F45" s="4">
        <v>28</v>
      </c>
      <c r="G45" s="91" t="s">
        <v>442</v>
      </c>
      <c r="H45" s="91" t="s">
        <v>442</v>
      </c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 t="s">
        <v>442</v>
      </c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8">
        <f t="shared" si="0"/>
        <v>48</v>
      </c>
      <c r="AF45" s="29"/>
    </row>
    <row r="46" spans="1:32" ht="16.5">
      <c r="A46" s="3" t="s">
        <v>220</v>
      </c>
      <c r="B46" s="5">
        <v>80</v>
      </c>
      <c r="C46" s="4">
        <v>57</v>
      </c>
      <c r="D46" s="6">
        <v>92</v>
      </c>
      <c r="E46" s="6">
        <v>95</v>
      </c>
      <c r="F46" s="6">
        <v>90</v>
      </c>
      <c r="G46" s="91" t="s">
        <v>442</v>
      </c>
      <c r="H46" s="91" t="s">
        <v>442</v>
      </c>
      <c r="I46" s="91" t="s">
        <v>442</v>
      </c>
      <c r="J46" s="91" t="s">
        <v>442</v>
      </c>
      <c r="K46" s="91"/>
      <c r="L46" s="91"/>
      <c r="M46" s="91" t="s">
        <v>442</v>
      </c>
      <c r="N46" s="91"/>
      <c r="O46" s="91" t="s">
        <v>442</v>
      </c>
      <c r="P46" s="91"/>
      <c r="Q46" s="91"/>
      <c r="R46" s="91"/>
      <c r="S46" s="91" t="s">
        <v>442</v>
      </c>
      <c r="T46" s="91"/>
      <c r="U46" s="91" t="s">
        <v>442</v>
      </c>
      <c r="V46" s="91" t="s">
        <v>442</v>
      </c>
      <c r="W46" s="91"/>
      <c r="X46" s="91"/>
      <c r="Y46" s="91"/>
      <c r="Z46" s="91" t="s">
        <v>442</v>
      </c>
      <c r="AA46" s="91"/>
      <c r="AB46" s="91" t="s">
        <v>442</v>
      </c>
      <c r="AC46" s="91"/>
      <c r="AD46" s="91"/>
      <c r="AE46" s="8">
        <f t="shared" si="0"/>
        <v>82.8</v>
      </c>
      <c r="AF46" s="29"/>
    </row>
    <row r="47" spans="1:32" ht="16.5">
      <c r="A47" s="3" t="s">
        <v>49</v>
      </c>
      <c r="B47" s="5">
        <v>86</v>
      </c>
      <c r="C47" s="4">
        <v>66</v>
      </c>
      <c r="D47" s="5">
        <v>82</v>
      </c>
      <c r="E47" s="4">
        <v>70</v>
      </c>
      <c r="F47" s="5">
        <v>83</v>
      </c>
      <c r="G47" s="91"/>
      <c r="H47" s="91"/>
      <c r="I47" s="91" t="s">
        <v>442</v>
      </c>
      <c r="J47" s="91" t="s">
        <v>442</v>
      </c>
      <c r="K47" s="91" t="s">
        <v>442</v>
      </c>
      <c r="L47" s="91" t="s">
        <v>442</v>
      </c>
      <c r="M47" s="91"/>
      <c r="N47" s="91" t="s">
        <v>442</v>
      </c>
      <c r="O47" s="91"/>
      <c r="P47" s="91"/>
      <c r="Q47" s="91" t="s">
        <v>442</v>
      </c>
      <c r="R47" s="91"/>
      <c r="S47" s="91"/>
      <c r="T47" s="91" t="s">
        <v>442</v>
      </c>
      <c r="U47" s="91"/>
      <c r="V47" s="91" t="s">
        <v>442</v>
      </c>
      <c r="W47" s="91"/>
      <c r="X47" s="91"/>
      <c r="Y47" s="91"/>
      <c r="Z47" s="91"/>
      <c r="AA47" s="91"/>
      <c r="AB47" s="91"/>
      <c r="AC47" s="91"/>
      <c r="AD47" s="91" t="s">
        <v>442</v>
      </c>
      <c r="AE47" s="8">
        <f t="shared" si="0"/>
        <v>77.400000000000006</v>
      </c>
      <c r="AF47" s="29"/>
    </row>
    <row r="48" spans="1:32" ht="16.5">
      <c r="A48" s="3" t="s">
        <v>76</v>
      </c>
      <c r="B48" s="4">
        <v>78</v>
      </c>
      <c r="C48" s="5">
        <v>86</v>
      </c>
      <c r="D48" s="4">
        <v>45</v>
      </c>
      <c r="E48" s="4">
        <v>32</v>
      </c>
      <c r="F48" s="4">
        <v>54</v>
      </c>
      <c r="G48" s="91"/>
      <c r="H48" s="91"/>
      <c r="I48" s="91"/>
      <c r="J48" s="91"/>
      <c r="K48" s="91"/>
      <c r="L48" s="91"/>
      <c r="M48" s="91"/>
      <c r="N48" s="91" t="s">
        <v>442</v>
      </c>
      <c r="O48" s="91"/>
      <c r="P48" s="91"/>
      <c r="Q48" s="91" t="s">
        <v>442</v>
      </c>
      <c r="R48" s="91" t="s">
        <v>442</v>
      </c>
      <c r="S48" s="91"/>
      <c r="T48" s="91"/>
      <c r="U48" s="91" t="s">
        <v>442</v>
      </c>
      <c r="V48" s="91"/>
      <c r="W48" s="91"/>
      <c r="X48" s="91"/>
      <c r="Y48" s="91"/>
      <c r="Z48" s="91"/>
      <c r="AA48" s="91"/>
      <c r="AB48" s="91"/>
      <c r="AC48" s="91" t="s">
        <v>442</v>
      </c>
      <c r="AD48" s="91"/>
      <c r="AE48" s="8">
        <f t="shared" si="0"/>
        <v>59</v>
      </c>
      <c r="AF48" s="29"/>
    </row>
    <row r="49" spans="1:32" ht="16.5">
      <c r="A49" s="3" t="s">
        <v>153</v>
      </c>
      <c r="B49" s="4">
        <v>57</v>
      </c>
      <c r="C49" s="4">
        <v>65</v>
      </c>
      <c r="D49" s="4">
        <v>39</v>
      </c>
      <c r="E49" s="4">
        <v>27</v>
      </c>
      <c r="F49" s="4">
        <v>16</v>
      </c>
      <c r="G49" s="91"/>
      <c r="H49" s="91"/>
      <c r="I49" s="91"/>
      <c r="J49" s="91"/>
      <c r="K49" s="91"/>
      <c r="L49" s="91"/>
      <c r="M49" s="91"/>
      <c r="N49" s="91"/>
      <c r="O49" s="91"/>
      <c r="P49" s="91" t="s">
        <v>442</v>
      </c>
      <c r="Q49" s="91"/>
      <c r="R49" s="91"/>
      <c r="S49" s="91"/>
      <c r="T49" s="91"/>
      <c r="U49" s="91" t="s">
        <v>442</v>
      </c>
      <c r="V49" s="91"/>
      <c r="W49" s="91"/>
      <c r="X49" s="91"/>
      <c r="Y49" s="91"/>
      <c r="Z49" s="91"/>
      <c r="AA49" s="91"/>
      <c r="AB49" s="91" t="s">
        <v>442</v>
      </c>
      <c r="AC49" s="91"/>
      <c r="AD49" s="91"/>
      <c r="AE49" s="8">
        <f t="shared" si="0"/>
        <v>40.799999999999997</v>
      </c>
      <c r="AF49" s="29"/>
    </row>
    <row r="50" spans="1:32" ht="16.5">
      <c r="A50" s="3" t="s">
        <v>102</v>
      </c>
      <c r="B50" s="4">
        <v>72</v>
      </c>
      <c r="C50" s="5">
        <v>83</v>
      </c>
      <c r="D50" s="4">
        <v>23</v>
      </c>
      <c r="E50" s="4">
        <v>14</v>
      </c>
      <c r="F50" s="4">
        <v>50</v>
      </c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 t="s">
        <v>442</v>
      </c>
      <c r="T50" s="91" t="s">
        <v>442</v>
      </c>
      <c r="U50" s="91"/>
      <c r="V50" s="91"/>
      <c r="W50" s="91"/>
      <c r="X50" s="91"/>
      <c r="Y50" s="91"/>
      <c r="Z50" s="91"/>
      <c r="AA50" s="91"/>
      <c r="AB50" s="91"/>
      <c r="AC50" s="91" t="s">
        <v>442</v>
      </c>
      <c r="AD50" s="91"/>
      <c r="AE50" s="8">
        <f t="shared" si="0"/>
        <v>48.4</v>
      </c>
      <c r="AF50" s="29"/>
    </row>
    <row r="51" spans="1:32" ht="16.5">
      <c r="A51" s="3" t="s">
        <v>286</v>
      </c>
      <c r="B51" s="4">
        <v>70</v>
      </c>
      <c r="C51" s="5">
        <v>81</v>
      </c>
      <c r="D51" s="4">
        <v>58</v>
      </c>
      <c r="E51" s="4">
        <v>56</v>
      </c>
      <c r="F51" s="4">
        <v>62</v>
      </c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 t="s">
        <v>442</v>
      </c>
      <c r="R51" s="91"/>
      <c r="S51" s="91" t="s">
        <v>442</v>
      </c>
      <c r="T51" s="91" t="s">
        <v>442</v>
      </c>
      <c r="U51" s="91"/>
      <c r="V51" s="91"/>
      <c r="W51" s="91"/>
      <c r="X51" s="91"/>
      <c r="Y51" s="91"/>
      <c r="Z51" s="91" t="s">
        <v>442</v>
      </c>
      <c r="AA51" s="91"/>
      <c r="AB51" s="91"/>
      <c r="AC51" s="91" t="s">
        <v>442</v>
      </c>
      <c r="AD51" s="91"/>
      <c r="AE51" s="8">
        <f t="shared" si="0"/>
        <v>65.400000000000006</v>
      </c>
      <c r="AF51" s="29"/>
    </row>
    <row r="52" spans="1:32" ht="16.5">
      <c r="A52" s="3" t="s">
        <v>250</v>
      </c>
      <c r="B52" s="4">
        <v>66</v>
      </c>
      <c r="C52" s="5">
        <v>80</v>
      </c>
      <c r="D52" s="4">
        <v>22</v>
      </c>
      <c r="E52" s="4">
        <v>20</v>
      </c>
      <c r="F52" s="4">
        <v>26</v>
      </c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 t="s">
        <v>442</v>
      </c>
      <c r="S52" s="91"/>
      <c r="T52" s="91" t="s">
        <v>442</v>
      </c>
      <c r="U52" s="91"/>
      <c r="V52" s="91"/>
      <c r="W52" s="91"/>
      <c r="X52" s="91"/>
      <c r="Y52" s="91" t="s">
        <v>442</v>
      </c>
      <c r="Z52" s="91"/>
      <c r="AA52" s="91"/>
      <c r="AB52" s="91"/>
      <c r="AC52" s="91"/>
      <c r="AD52" s="91"/>
      <c r="AE52" s="8">
        <f t="shared" si="0"/>
        <v>42.8</v>
      </c>
      <c r="AF52" s="29"/>
    </row>
    <row r="53" spans="1:32" ht="16.5">
      <c r="A53" s="3" t="s">
        <v>687</v>
      </c>
      <c r="B53" s="4">
        <v>45</v>
      </c>
      <c r="C53" s="4">
        <v>57</v>
      </c>
      <c r="D53" s="4">
        <v>37</v>
      </c>
      <c r="E53" s="4">
        <v>34</v>
      </c>
      <c r="F53" s="4">
        <v>42</v>
      </c>
      <c r="G53" s="91"/>
      <c r="H53" s="91"/>
      <c r="I53" s="91"/>
      <c r="J53" s="91"/>
      <c r="K53" s="91"/>
      <c r="L53" s="91"/>
      <c r="M53" s="91"/>
      <c r="N53" s="91"/>
      <c r="O53" s="91"/>
      <c r="P53" s="91" t="s">
        <v>442</v>
      </c>
      <c r="Q53" s="91"/>
      <c r="R53" s="91"/>
      <c r="S53" s="91"/>
      <c r="T53" s="91"/>
      <c r="U53" s="91" t="s">
        <v>442</v>
      </c>
      <c r="V53" s="91"/>
      <c r="W53" s="91"/>
      <c r="X53" s="91"/>
      <c r="Y53" s="91"/>
      <c r="Z53" s="91"/>
      <c r="AA53" s="91"/>
      <c r="AB53" s="91"/>
      <c r="AC53" s="91"/>
      <c r="AD53" s="91"/>
      <c r="AE53" s="8">
        <f t="shared" si="0"/>
        <v>43</v>
      </c>
      <c r="AF53" s="29" t="s">
        <v>688</v>
      </c>
    </row>
    <row r="54" spans="1:32" ht="16.5">
      <c r="A54" s="3" t="s">
        <v>410</v>
      </c>
      <c r="B54" s="4">
        <v>55</v>
      </c>
      <c r="C54" s="4">
        <v>62</v>
      </c>
      <c r="D54" s="4">
        <v>49</v>
      </c>
      <c r="E54" s="4">
        <v>45</v>
      </c>
      <c r="F54" s="4">
        <v>52</v>
      </c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 t="s">
        <v>442</v>
      </c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8">
        <f t="shared" si="0"/>
        <v>52.6</v>
      </c>
      <c r="AF54" s="29"/>
    </row>
    <row r="55" spans="1:32" ht="16.5">
      <c r="A55" s="3" t="s">
        <v>383</v>
      </c>
      <c r="B55" s="4">
        <v>52</v>
      </c>
      <c r="C55" s="4">
        <v>69</v>
      </c>
      <c r="D55" s="4">
        <v>13</v>
      </c>
      <c r="E55" s="4">
        <v>11</v>
      </c>
      <c r="F55" s="4">
        <v>14</v>
      </c>
      <c r="G55" s="91"/>
      <c r="H55" s="91"/>
      <c r="I55" s="91"/>
      <c r="J55" s="91"/>
      <c r="K55" s="91"/>
      <c r="L55" s="91"/>
      <c r="M55" s="91"/>
      <c r="N55" s="91"/>
      <c r="O55" s="91"/>
      <c r="P55" s="91" t="s">
        <v>442</v>
      </c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8">
        <f t="shared" si="0"/>
        <v>31.8</v>
      </c>
      <c r="AF55" s="29"/>
    </row>
    <row r="56" spans="1:32" ht="16.5">
      <c r="A56" s="3" t="s">
        <v>120</v>
      </c>
      <c r="B56" s="4">
        <v>53</v>
      </c>
      <c r="C56" s="4">
        <v>39</v>
      </c>
      <c r="D56" s="4">
        <v>59</v>
      </c>
      <c r="E56" s="4">
        <v>63</v>
      </c>
      <c r="F56" s="4">
        <v>75</v>
      </c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 t="s">
        <v>442</v>
      </c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8">
        <f t="shared" si="0"/>
        <v>57.8</v>
      </c>
      <c r="AF56" s="29"/>
    </row>
    <row r="57" spans="1:32" ht="16.5">
      <c r="A57" s="3" t="s">
        <v>358</v>
      </c>
      <c r="B57" s="4">
        <v>68</v>
      </c>
      <c r="C57" s="4">
        <v>60</v>
      </c>
      <c r="D57" s="4">
        <v>70</v>
      </c>
      <c r="E57" s="4">
        <v>71</v>
      </c>
      <c r="F57" s="4">
        <v>63</v>
      </c>
      <c r="G57" s="91" t="s">
        <v>442</v>
      </c>
      <c r="H57" s="91" t="s">
        <v>442</v>
      </c>
      <c r="I57" s="91"/>
      <c r="J57" s="91" t="s">
        <v>442</v>
      </c>
      <c r="K57" s="91"/>
      <c r="L57" s="91"/>
      <c r="M57" s="91"/>
      <c r="N57" s="91"/>
      <c r="O57" s="91"/>
      <c r="P57" s="91"/>
      <c r="Q57" s="91"/>
      <c r="R57" s="91" t="s">
        <v>442</v>
      </c>
      <c r="S57" s="91"/>
      <c r="T57" s="91"/>
      <c r="U57" s="91" t="s">
        <v>442</v>
      </c>
      <c r="V57" s="91"/>
      <c r="W57" s="91"/>
      <c r="X57" s="91"/>
      <c r="Y57" s="91"/>
      <c r="Z57" s="91"/>
      <c r="AA57" s="91"/>
      <c r="AB57" s="91"/>
      <c r="AC57" s="91"/>
      <c r="AD57" s="91"/>
      <c r="AE57" s="8">
        <f t="shared" si="0"/>
        <v>66.400000000000006</v>
      </c>
      <c r="AF57" s="29"/>
    </row>
    <row r="58" spans="1:32" ht="16.5">
      <c r="A58" s="3" t="s">
        <v>376</v>
      </c>
      <c r="B58" s="4">
        <v>61</v>
      </c>
      <c r="C58" s="4">
        <v>71</v>
      </c>
      <c r="D58" s="4">
        <v>28</v>
      </c>
      <c r="E58" s="4">
        <v>20</v>
      </c>
      <c r="F58" s="4">
        <v>22</v>
      </c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 t="s">
        <v>442</v>
      </c>
      <c r="R58" s="91"/>
      <c r="S58" s="91"/>
      <c r="T58" s="91" t="s">
        <v>442</v>
      </c>
      <c r="U58" s="91"/>
      <c r="V58" s="91"/>
      <c r="W58" s="91"/>
      <c r="X58" s="91"/>
      <c r="Y58" s="91"/>
      <c r="Z58" s="91"/>
      <c r="AA58" s="91"/>
      <c r="AB58" s="91"/>
      <c r="AC58" s="91" t="s">
        <v>442</v>
      </c>
      <c r="AD58" s="91"/>
      <c r="AE58" s="8">
        <f t="shared" si="0"/>
        <v>40.4</v>
      </c>
      <c r="AF58" s="29"/>
    </row>
    <row r="59" spans="1:32" ht="16.5">
      <c r="A59" s="3" t="s">
        <v>162</v>
      </c>
      <c r="B59" s="4">
        <v>45</v>
      </c>
      <c r="C59" s="4">
        <v>55</v>
      </c>
      <c r="D59" s="4">
        <v>49</v>
      </c>
      <c r="E59" s="4">
        <v>33</v>
      </c>
      <c r="F59" s="4">
        <v>45</v>
      </c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 t="s">
        <v>442</v>
      </c>
      <c r="AC59" s="91"/>
      <c r="AD59" s="91"/>
      <c r="AE59" s="8">
        <f t="shared" si="0"/>
        <v>45.4</v>
      </c>
      <c r="AF59" s="29"/>
    </row>
    <row r="60" spans="1:32" ht="16.5">
      <c r="A60" s="3" t="s">
        <v>190</v>
      </c>
      <c r="B60" s="4">
        <v>49</v>
      </c>
      <c r="C60" s="4">
        <v>52</v>
      </c>
      <c r="D60" s="4">
        <v>63</v>
      </c>
      <c r="E60" s="4">
        <v>77</v>
      </c>
      <c r="F60" s="4">
        <v>60</v>
      </c>
      <c r="G60" s="91"/>
      <c r="H60" s="91"/>
      <c r="I60" s="91" t="s">
        <v>442</v>
      </c>
      <c r="J60" s="91"/>
      <c r="K60" s="91"/>
      <c r="L60" s="91"/>
      <c r="M60" s="91" t="s">
        <v>442</v>
      </c>
      <c r="N60" s="91"/>
      <c r="O60" s="91" t="s">
        <v>442</v>
      </c>
      <c r="P60" s="91"/>
      <c r="Q60" s="91"/>
      <c r="R60" s="91"/>
      <c r="S60" s="91"/>
      <c r="T60" s="91"/>
      <c r="U60" s="91"/>
      <c r="V60" s="91" t="s">
        <v>442</v>
      </c>
      <c r="W60" s="91"/>
      <c r="X60" s="91"/>
      <c r="Y60" s="91"/>
      <c r="Z60" s="91"/>
      <c r="AA60" s="91"/>
      <c r="AB60" s="91"/>
      <c r="AC60" s="91"/>
      <c r="AD60" s="91"/>
      <c r="AE60" s="8">
        <f t="shared" si="0"/>
        <v>60.2</v>
      </c>
      <c r="AF60" s="29"/>
    </row>
    <row r="61" spans="1:32" ht="16.5">
      <c r="A61" s="3" t="s">
        <v>131</v>
      </c>
      <c r="B61" s="4">
        <v>64</v>
      </c>
      <c r="C61" s="4">
        <v>70</v>
      </c>
      <c r="D61" s="4">
        <v>37</v>
      </c>
      <c r="E61" s="4">
        <v>36</v>
      </c>
      <c r="F61" s="4">
        <v>51</v>
      </c>
      <c r="G61" s="91"/>
      <c r="H61" s="91"/>
      <c r="I61" s="91"/>
      <c r="J61" s="91"/>
      <c r="K61" s="91"/>
      <c r="L61" s="91"/>
      <c r="M61" s="91"/>
      <c r="N61" s="91" t="s">
        <v>442</v>
      </c>
      <c r="O61" s="91"/>
      <c r="P61" s="91"/>
      <c r="Q61" s="91"/>
      <c r="R61" s="91"/>
      <c r="S61" s="91" t="s">
        <v>442</v>
      </c>
      <c r="T61" s="91" t="s">
        <v>442</v>
      </c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8">
        <f t="shared" si="0"/>
        <v>51.6</v>
      </c>
      <c r="AF61" s="29"/>
    </row>
    <row r="62" spans="1:32" ht="16.5">
      <c r="A62" s="3" t="s">
        <v>80</v>
      </c>
      <c r="B62" s="4">
        <v>79</v>
      </c>
      <c r="C62" s="4">
        <v>72</v>
      </c>
      <c r="D62" s="4">
        <v>56</v>
      </c>
      <c r="E62" s="4">
        <v>44</v>
      </c>
      <c r="F62" s="5">
        <v>80</v>
      </c>
      <c r="G62" s="91"/>
      <c r="H62" s="91"/>
      <c r="I62" s="91"/>
      <c r="J62" s="91"/>
      <c r="K62" s="91"/>
      <c r="L62" s="91"/>
      <c r="M62" s="91"/>
      <c r="N62" s="91"/>
      <c r="O62" s="91"/>
      <c r="P62" s="91" t="s">
        <v>442</v>
      </c>
      <c r="Q62" s="91" t="s">
        <v>442</v>
      </c>
      <c r="R62" s="91"/>
      <c r="S62" s="91"/>
      <c r="T62" s="91"/>
      <c r="U62" s="91"/>
      <c r="V62" s="91"/>
      <c r="W62" s="91"/>
      <c r="X62" s="91"/>
      <c r="Y62" s="91" t="s">
        <v>442</v>
      </c>
      <c r="Z62" s="91" t="s">
        <v>442</v>
      </c>
      <c r="AA62" s="91"/>
      <c r="AB62" s="91" t="s">
        <v>442</v>
      </c>
      <c r="AC62" s="91"/>
      <c r="AD62" s="91"/>
      <c r="AE62" s="8">
        <f t="shared" si="0"/>
        <v>66.2</v>
      </c>
      <c r="AF62" s="29"/>
    </row>
    <row r="63" spans="1:32" ht="16.5">
      <c r="A63" s="3" t="s">
        <v>178</v>
      </c>
      <c r="B63" s="4">
        <v>67</v>
      </c>
      <c r="C63" s="4">
        <v>18</v>
      </c>
      <c r="D63" s="5">
        <v>85</v>
      </c>
      <c r="E63" s="5">
        <v>87</v>
      </c>
      <c r="F63" s="4">
        <v>70</v>
      </c>
      <c r="G63" s="91"/>
      <c r="H63" s="91" t="s">
        <v>442</v>
      </c>
      <c r="I63" s="91" t="s">
        <v>442</v>
      </c>
      <c r="J63" s="91" t="s">
        <v>442</v>
      </c>
      <c r="K63" s="91"/>
      <c r="L63" s="91" t="s">
        <v>442</v>
      </c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 t="s">
        <v>442</v>
      </c>
      <c r="Z63" s="91"/>
      <c r="AA63" s="91"/>
      <c r="AB63" s="91" t="s">
        <v>442</v>
      </c>
      <c r="AC63" s="91"/>
      <c r="AD63" s="91"/>
      <c r="AE63" s="8">
        <f t="shared" si="0"/>
        <v>65.400000000000006</v>
      </c>
      <c r="AF63" s="29"/>
    </row>
    <row r="64" spans="1:32" ht="16.5">
      <c r="A64" s="3" t="s">
        <v>47</v>
      </c>
      <c r="B64" s="4">
        <v>78</v>
      </c>
      <c r="C64" s="5">
        <v>89</v>
      </c>
      <c r="D64" s="4">
        <v>55</v>
      </c>
      <c r="E64" s="4">
        <v>47</v>
      </c>
      <c r="F64" s="4">
        <v>46</v>
      </c>
      <c r="G64" s="91"/>
      <c r="H64" s="91"/>
      <c r="I64" s="91"/>
      <c r="J64" s="91"/>
      <c r="K64" s="91"/>
      <c r="L64" s="91"/>
      <c r="M64" s="91"/>
      <c r="N64" s="91" t="s">
        <v>442</v>
      </c>
      <c r="O64" s="91"/>
      <c r="P64" s="91" t="s">
        <v>442</v>
      </c>
      <c r="Q64" s="91"/>
      <c r="R64" s="91" t="s">
        <v>442</v>
      </c>
      <c r="S64" s="91"/>
      <c r="T64" s="91" t="s">
        <v>442</v>
      </c>
      <c r="U64" s="91"/>
      <c r="V64" s="91"/>
      <c r="W64" s="91"/>
      <c r="X64" s="91"/>
      <c r="Y64" s="91" t="s">
        <v>442</v>
      </c>
      <c r="Z64" s="91"/>
      <c r="AA64" s="91"/>
      <c r="AB64" s="91"/>
      <c r="AC64" s="91" t="s">
        <v>442</v>
      </c>
      <c r="AD64" s="91" t="s">
        <v>442</v>
      </c>
      <c r="AE64" s="8">
        <f t="shared" si="0"/>
        <v>63</v>
      </c>
      <c r="AF64" s="29"/>
    </row>
    <row r="65" spans="1:32" ht="16.5">
      <c r="A65" s="3" t="s">
        <v>195</v>
      </c>
      <c r="B65" s="4">
        <v>75</v>
      </c>
      <c r="C65" s="4">
        <v>70</v>
      </c>
      <c r="D65" s="4">
        <v>44</v>
      </c>
      <c r="E65" s="4">
        <v>37</v>
      </c>
      <c r="F65" s="4">
        <v>74</v>
      </c>
      <c r="G65" s="91"/>
      <c r="H65" s="91"/>
      <c r="I65" s="91"/>
      <c r="J65" s="91"/>
      <c r="K65" s="91"/>
      <c r="L65" s="91"/>
      <c r="M65" s="91"/>
      <c r="N65" s="91" t="s">
        <v>442</v>
      </c>
      <c r="O65" s="91"/>
      <c r="P65" s="91"/>
      <c r="Q65" s="91"/>
      <c r="R65" s="91"/>
      <c r="S65" s="91"/>
      <c r="T65" s="91"/>
      <c r="U65" s="91" t="s">
        <v>442</v>
      </c>
      <c r="V65" s="91"/>
      <c r="W65" s="91"/>
      <c r="X65" s="91"/>
      <c r="Y65" s="91"/>
      <c r="Z65" s="91"/>
      <c r="AA65" s="91"/>
      <c r="AB65" s="91"/>
      <c r="AC65" s="91"/>
      <c r="AD65" s="91"/>
      <c r="AE65" s="8">
        <f t="shared" si="0"/>
        <v>60</v>
      </c>
      <c r="AF65" s="29"/>
    </row>
    <row r="66" spans="1:32" ht="16.5">
      <c r="A66" s="3" t="s">
        <v>124</v>
      </c>
      <c r="B66" s="4">
        <v>52</v>
      </c>
      <c r="C66" s="4">
        <v>70</v>
      </c>
      <c r="D66" s="4">
        <v>56</v>
      </c>
      <c r="E66" s="4">
        <v>70</v>
      </c>
      <c r="F66" s="4">
        <v>53</v>
      </c>
      <c r="G66" s="91"/>
      <c r="H66" s="91" t="s">
        <v>442</v>
      </c>
      <c r="I66" s="91"/>
      <c r="J66" s="91" t="s">
        <v>442</v>
      </c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 t="s">
        <v>442</v>
      </c>
      <c r="AC66" s="91"/>
      <c r="AD66" s="91"/>
      <c r="AE66" s="8">
        <f t="shared" si="0"/>
        <v>60.2</v>
      </c>
      <c r="AF66" s="29"/>
    </row>
    <row r="67" spans="1:32" ht="16.5">
      <c r="A67" s="3" t="s">
        <v>340</v>
      </c>
      <c r="B67" s="4">
        <v>21</v>
      </c>
      <c r="C67" s="4">
        <v>19</v>
      </c>
      <c r="D67" s="4">
        <v>67</v>
      </c>
      <c r="E67" s="4">
        <v>51</v>
      </c>
      <c r="F67" s="4">
        <v>48</v>
      </c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 t="s">
        <v>442</v>
      </c>
      <c r="U67" s="91" t="s">
        <v>442</v>
      </c>
      <c r="V67" s="91"/>
      <c r="W67" s="91"/>
      <c r="X67" s="91"/>
      <c r="Y67" s="91"/>
      <c r="Z67" s="91"/>
      <c r="AA67" s="91"/>
      <c r="AB67" s="91"/>
      <c r="AC67" s="91"/>
      <c r="AD67" s="91"/>
      <c r="AE67" s="8">
        <f t="shared" ref="AE67:AE130" si="1">SUM(B67:F67)/5</f>
        <v>41.2</v>
      </c>
      <c r="AF67" s="29"/>
    </row>
    <row r="68" spans="1:32" ht="16.5">
      <c r="A68" s="3" t="s">
        <v>344</v>
      </c>
      <c r="B68" s="6">
        <v>93</v>
      </c>
      <c r="C68" s="5">
        <v>85</v>
      </c>
      <c r="D68" s="6">
        <v>93</v>
      </c>
      <c r="E68" s="5">
        <v>81</v>
      </c>
      <c r="F68" s="4">
        <v>75</v>
      </c>
      <c r="G68" s="91"/>
      <c r="H68" s="91" t="s">
        <v>442</v>
      </c>
      <c r="I68" s="91"/>
      <c r="J68" s="91" t="s">
        <v>442</v>
      </c>
      <c r="K68" s="91"/>
      <c r="L68" s="91"/>
      <c r="M68" s="91"/>
      <c r="N68" s="91"/>
      <c r="O68" s="91"/>
      <c r="P68" s="91" t="s">
        <v>442</v>
      </c>
      <c r="Q68" s="91"/>
      <c r="R68" s="91" t="s">
        <v>442</v>
      </c>
      <c r="S68" s="91"/>
      <c r="T68" s="91" t="s">
        <v>442</v>
      </c>
      <c r="U68" s="91" t="s">
        <v>442</v>
      </c>
      <c r="V68" s="91"/>
      <c r="W68" s="91"/>
      <c r="X68" s="91"/>
      <c r="Y68" s="91" t="s">
        <v>442</v>
      </c>
      <c r="Z68" s="91"/>
      <c r="AA68" s="91"/>
      <c r="AB68" s="91" t="s">
        <v>442</v>
      </c>
      <c r="AC68" s="91" t="s">
        <v>442</v>
      </c>
      <c r="AD68" s="91" t="s">
        <v>442</v>
      </c>
      <c r="AE68" s="8">
        <f t="shared" si="1"/>
        <v>85.4</v>
      </c>
      <c r="AF68" s="29"/>
    </row>
    <row r="69" spans="1:32" ht="16.5">
      <c r="A69" s="3" t="s">
        <v>325</v>
      </c>
      <c r="B69" s="4">
        <v>42</v>
      </c>
      <c r="C69" s="4">
        <v>17</v>
      </c>
      <c r="D69" s="4">
        <v>68</v>
      </c>
      <c r="E69" s="4">
        <v>79</v>
      </c>
      <c r="F69" s="4">
        <v>66</v>
      </c>
      <c r="G69" s="91"/>
      <c r="H69" s="91" t="s">
        <v>442</v>
      </c>
      <c r="I69" s="91" t="s">
        <v>442</v>
      </c>
      <c r="J69" s="91"/>
      <c r="K69" s="91"/>
      <c r="L69" s="91"/>
      <c r="M69" s="91" t="s">
        <v>442</v>
      </c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 t="s">
        <v>442</v>
      </c>
      <c r="AC69" s="91"/>
      <c r="AD69" s="91"/>
      <c r="AE69" s="8">
        <f t="shared" si="1"/>
        <v>54.4</v>
      </c>
      <c r="AF69" s="29"/>
    </row>
    <row r="70" spans="1:32" ht="16.5">
      <c r="A70" s="3" t="s">
        <v>305</v>
      </c>
      <c r="B70" s="4">
        <v>69</v>
      </c>
      <c r="C70" s="4">
        <v>51</v>
      </c>
      <c r="D70" s="5">
        <v>84</v>
      </c>
      <c r="E70" s="4">
        <v>78</v>
      </c>
      <c r="F70" s="6">
        <v>93</v>
      </c>
      <c r="G70" s="91" t="s">
        <v>442</v>
      </c>
      <c r="H70" s="91" t="s">
        <v>442</v>
      </c>
      <c r="I70" s="91" t="s">
        <v>442</v>
      </c>
      <c r="J70" s="91" t="s">
        <v>442</v>
      </c>
      <c r="K70" s="91"/>
      <c r="L70" s="91"/>
      <c r="M70" s="91"/>
      <c r="N70" s="91"/>
      <c r="O70" s="91" t="s">
        <v>442</v>
      </c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 t="s">
        <v>442</v>
      </c>
      <c r="AA70" s="91"/>
      <c r="AB70" s="91" t="s">
        <v>442</v>
      </c>
      <c r="AC70" s="91"/>
      <c r="AD70" s="91" t="s">
        <v>442</v>
      </c>
      <c r="AE70" s="8">
        <f t="shared" si="1"/>
        <v>75</v>
      </c>
      <c r="AF70" s="29"/>
    </row>
    <row r="71" spans="1:32" ht="16.5">
      <c r="A71" s="3" t="s">
        <v>197</v>
      </c>
      <c r="B71" s="4">
        <v>64</v>
      </c>
      <c r="C71" s="4">
        <v>69</v>
      </c>
      <c r="D71" s="4">
        <v>66</v>
      </c>
      <c r="E71" s="4">
        <v>70</v>
      </c>
      <c r="F71" s="4">
        <v>61</v>
      </c>
      <c r="G71" s="91"/>
      <c r="H71" s="91"/>
      <c r="I71" s="91" t="s">
        <v>442</v>
      </c>
      <c r="J71" s="91"/>
      <c r="K71" s="91" t="s">
        <v>442</v>
      </c>
      <c r="L71" s="91"/>
      <c r="M71" s="91"/>
      <c r="N71" s="91"/>
      <c r="O71" s="91"/>
      <c r="P71" s="91"/>
      <c r="Q71" s="91" t="s">
        <v>442</v>
      </c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8">
        <f t="shared" si="1"/>
        <v>66</v>
      </c>
      <c r="AF71" s="29"/>
    </row>
    <row r="72" spans="1:32" ht="16.5">
      <c r="A72" s="3" t="s">
        <v>183</v>
      </c>
      <c r="B72" s="4">
        <v>77</v>
      </c>
      <c r="C72" s="5">
        <v>83</v>
      </c>
      <c r="D72" s="4">
        <v>47</v>
      </c>
      <c r="E72" s="4">
        <v>39</v>
      </c>
      <c r="F72" s="4">
        <v>73</v>
      </c>
      <c r="G72" s="91"/>
      <c r="H72" s="91"/>
      <c r="I72" s="91"/>
      <c r="J72" s="91"/>
      <c r="K72" s="91"/>
      <c r="L72" s="91"/>
      <c r="M72" s="91"/>
      <c r="N72" s="91" t="s">
        <v>442</v>
      </c>
      <c r="O72" s="91" t="s">
        <v>442</v>
      </c>
      <c r="P72" s="91"/>
      <c r="Q72" s="91" t="s">
        <v>442</v>
      </c>
      <c r="R72" s="91" t="s">
        <v>442</v>
      </c>
      <c r="S72" s="91"/>
      <c r="T72" s="91" t="s">
        <v>442</v>
      </c>
      <c r="U72" s="91" t="s">
        <v>442</v>
      </c>
      <c r="V72" s="91"/>
      <c r="W72" s="91"/>
      <c r="X72" s="91"/>
      <c r="Y72" s="91"/>
      <c r="Z72" s="91"/>
      <c r="AA72" s="91"/>
      <c r="AB72" s="91"/>
      <c r="AC72" s="91" t="s">
        <v>442</v>
      </c>
      <c r="AD72" s="91"/>
      <c r="AE72" s="8">
        <f t="shared" si="1"/>
        <v>63.8</v>
      </c>
      <c r="AF72" s="29"/>
    </row>
    <row r="73" spans="1:32" ht="16.5">
      <c r="A73" s="3" t="s">
        <v>44</v>
      </c>
      <c r="B73" s="5">
        <v>88</v>
      </c>
      <c r="C73" s="6">
        <v>93</v>
      </c>
      <c r="D73" s="4">
        <v>54</v>
      </c>
      <c r="E73" s="4">
        <v>46</v>
      </c>
      <c r="F73" s="5">
        <v>87</v>
      </c>
      <c r="G73" s="91"/>
      <c r="H73" s="91"/>
      <c r="I73" s="91"/>
      <c r="J73" s="91"/>
      <c r="K73" s="91"/>
      <c r="L73" s="91"/>
      <c r="M73" s="91"/>
      <c r="N73" s="91" t="s">
        <v>442</v>
      </c>
      <c r="O73" s="91"/>
      <c r="P73" s="91" t="s">
        <v>442</v>
      </c>
      <c r="Q73" s="91" t="s">
        <v>442</v>
      </c>
      <c r="R73" s="91"/>
      <c r="S73" s="91"/>
      <c r="T73" s="91"/>
      <c r="U73" s="91"/>
      <c r="V73" s="91" t="s">
        <v>442</v>
      </c>
      <c r="W73" s="91"/>
      <c r="X73" s="91"/>
      <c r="Y73" s="91" t="s">
        <v>442</v>
      </c>
      <c r="Z73" s="91"/>
      <c r="AA73" s="91"/>
      <c r="AB73" s="91" t="s">
        <v>442</v>
      </c>
      <c r="AC73" s="91" t="s">
        <v>442</v>
      </c>
      <c r="AD73" s="91"/>
      <c r="AE73" s="8">
        <f t="shared" si="1"/>
        <v>73.599999999999994</v>
      </c>
      <c r="AF73" s="29"/>
    </row>
    <row r="74" spans="1:32" ht="16.5">
      <c r="A74" s="3" t="s">
        <v>303</v>
      </c>
      <c r="B74" s="4">
        <v>72</v>
      </c>
      <c r="C74" s="4">
        <v>41</v>
      </c>
      <c r="D74" s="5">
        <v>85</v>
      </c>
      <c r="E74" s="6">
        <v>94</v>
      </c>
      <c r="F74" s="5">
        <v>87</v>
      </c>
      <c r="G74" s="91" t="s">
        <v>442</v>
      </c>
      <c r="H74" s="91" t="s">
        <v>442</v>
      </c>
      <c r="I74" s="91" t="s">
        <v>442</v>
      </c>
      <c r="J74" s="91"/>
      <c r="K74" s="91" t="s">
        <v>442</v>
      </c>
      <c r="L74" s="91" t="s">
        <v>442</v>
      </c>
      <c r="M74" s="91" t="s">
        <v>442</v>
      </c>
      <c r="N74" s="91"/>
      <c r="O74" s="91" t="s">
        <v>442</v>
      </c>
      <c r="P74" s="91"/>
      <c r="Q74" s="91"/>
      <c r="R74" s="91"/>
      <c r="S74" s="91"/>
      <c r="T74" s="91" t="s">
        <v>442</v>
      </c>
      <c r="U74" s="91"/>
      <c r="V74" s="91" t="s">
        <v>442</v>
      </c>
      <c r="W74" s="91"/>
      <c r="X74" s="91"/>
      <c r="Y74" s="91"/>
      <c r="Z74" s="91" t="s">
        <v>442</v>
      </c>
      <c r="AA74" s="91"/>
      <c r="AB74" s="91" t="s">
        <v>442</v>
      </c>
      <c r="AC74" s="91"/>
      <c r="AD74" s="91"/>
      <c r="AE74" s="8">
        <f t="shared" si="1"/>
        <v>75.8</v>
      </c>
      <c r="AF74" s="29"/>
    </row>
    <row r="75" spans="1:32" ht="16.5">
      <c r="A75" s="3" t="s">
        <v>307</v>
      </c>
      <c r="B75" s="4">
        <v>72</v>
      </c>
      <c r="C75" s="4">
        <v>69</v>
      </c>
      <c r="D75" s="5">
        <v>85</v>
      </c>
      <c r="E75" s="4">
        <v>68</v>
      </c>
      <c r="F75" s="4">
        <v>69</v>
      </c>
      <c r="G75" s="91"/>
      <c r="H75" s="91" t="s">
        <v>442</v>
      </c>
      <c r="I75" s="91" t="s">
        <v>442</v>
      </c>
      <c r="J75" s="91" t="s">
        <v>442</v>
      </c>
      <c r="K75" s="91" t="s">
        <v>442</v>
      </c>
      <c r="L75" s="91" t="s">
        <v>442</v>
      </c>
      <c r="M75" s="91" t="s">
        <v>442</v>
      </c>
      <c r="N75" s="91"/>
      <c r="O75" s="91" t="s">
        <v>442</v>
      </c>
      <c r="P75" s="91" t="s">
        <v>442</v>
      </c>
      <c r="Q75" s="91"/>
      <c r="R75" s="91"/>
      <c r="S75" s="91"/>
      <c r="T75" s="91" t="s">
        <v>442</v>
      </c>
      <c r="U75" s="91"/>
      <c r="V75" s="91"/>
      <c r="W75" s="91"/>
      <c r="X75" s="91"/>
      <c r="Y75" s="91"/>
      <c r="Z75" s="91" t="s">
        <v>442</v>
      </c>
      <c r="AA75" s="91"/>
      <c r="AB75" s="91" t="s">
        <v>442</v>
      </c>
      <c r="AC75" s="91"/>
      <c r="AD75" s="91" t="s">
        <v>442</v>
      </c>
      <c r="AE75" s="8">
        <f t="shared" si="1"/>
        <v>72.599999999999994</v>
      </c>
      <c r="AF75" s="29"/>
    </row>
    <row r="76" spans="1:32" ht="16.5">
      <c r="A76" s="3" t="s">
        <v>159</v>
      </c>
      <c r="B76" s="4">
        <v>52</v>
      </c>
      <c r="C76" s="4">
        <v>60</v>
      </c>
      <c r="D76" s="4">
        <v>42</v>
      </c>
      <c r="E76" s="4">
        <v>18</v>
      </c>
      <c r="F76" s="4">
        <v>25</v>
      </c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 t="s">
        <v>442</v>
      </c>
      <c r="R76" s="91"/>
      <c r="S76" s="91"/>
      <c r="T76" s="91" t="s">
        <v>442</v>
      </c>
      <c r="U76" s="91"/>
      <c r="V76" s="91"/>
      <c r="W76" s="91"/>
      <c r="X76" s="91"/>
      <c r="Y76" s="91"/>
      <c r="Z76" s="91"/>
      <c r="AA76" s="91"/>
      <c r="AB76" s="91" t="s">
        <v>442</v>
      </c>
      <c r="AC76" s="91"/>
      <c r="AD76" s="91"/>
      <c r="AE76" s="8">
        <f t="shared" si="1"/>
        <v>39.4</v>
      </c>
      <c r="AF76" s="29"/>
    </row>
    <row r="77" spans="1:32" ht="16.5">
      <c r="A77" s="3" t="s">
        <v>374</v>
      </c>
      <c r="B77" s="4">
        <v>48</v>
      </c>
      <c r="C77" s="4">
        <v>67</v>
      </c>
      <c r="D77" s="4">
        <v>62</v>
      </c>
      <c r="E77" s="4">
        <v>57</v>
      </c>
      <c r="F77" s="4">
        <v>67</v>
      </c>
      <c r="G77" s="91"/>
      <c r="H77" s="91"/>
      <c r="I77" s="91"/>
      <c r="J77" s="91"/>
      <c r="K77" s="91"/>
      <c r="L77" s="91"/>
      <c r="M77" s="91"/>
      <c r="N77" s="91"/>
      <c r="O77" s="91" t="s">
        <v>442</v>
      </c>
      <c r="P77" s="91"/>
      <c r="Q77" s="91"/>
      <c r="R77" s="91"/>
      <c r="S77" s="91"/>
      <c r="T77" s="91"/>
      <c r="U77" s="91"/>
      <c r="V77" s="91"/>
      <c r="W77" s="91"/>
      <c r="X77" s="91"/>
      <c r="Y77" s="91" t="s">
        <v>442</v>
      </c>
      <c r="Z77" s="91"/>
      <c r="AA77" s="91"/>
      <c r="AB77" s="91"/>
      <c r="AC77" s="91"/>
      <c r="AD77" s="91"/>
      <c r="AE77" s="8">
        <f t="shared" si="1"/>
        <v>60.2</v>
      </c>
      <c r="AF77" s="29"/>
    </row>
    <row r="78" spans="1:32" ht="16.5">
      <c r="A78" s="3" t="s">
        <v>262</v>
      </c>
      <c r="B78" s="4">
        <v>58</v>
      </c>
      <c r="C78" s="4">
        <v>63</v>
      </c>
      <c r="D78" s="4">
        <v>36</v>
      </c>
      <c r="E78" s="4">
        <v>29</v>
      </c>
      <c r="F78" s="4">
        <v>54</v>
      </c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 t="s">
        <v>442</v>
      </c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 t="s">
        <v>442</v>
      </c>
      <c r="AD78" s="91"/>
      <c r="AE78" s="8">
        <f t="shared" si="1"/>
        <v>48</v>
      </c>
      <c r="AF78" s="29"/>
    </row>
    <row r="79" spans="1:32" ht="16.5">
      <c r="A79" s="3" t="s">
        <v>174</v>
      </c>
      <c r="B79" s="5">
        <v>86</v>
      </c>
      <c r="C79" s="6">
        <v>99</v>
      </c>
      <c r="D79" s="4">
        <v>43</v>
      </c>
      <c r="E79" s="4">
        <v>31</v>
      </c>
      <c r="F79" s="4">
        <v>70</v>
      </c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 t="s">
        <v>442</v>
      </c>
      <c r="R79" s="91" t="s">
        <v>442</v>
      </c>
      <c r="S79" s="91"/>
      <c r="T79" s="91" t="s">
        <v>442</v>
      </c>
      <c r="U79" s="91"/>
      <c r="V79" s="91"/>
      <c r="W79" s="91"/>
      <c r="X79" s="91"/>
      <c r="Y79" s="91"/>
      <c r="Z79" s="91"/>
      <c r="AA79" s="91"/>
      <c r="AB79" s="91"/>
      <c r="AC79" s="91" t="s">
        <v>442</v>
      </c>
      <c r="AD79" s="91"/>
      <c r="AE79" s="8">
        <f t="shared" si="1"/>
        <v>65.8</v>
      </c>
      <c r="AF79" s="29"/>
    </row>
    <row r="80" spans="1:32" ht="16.5">
      <c r="A80" s="3" t="s">
        <v>265</v>
      </c>
      <c r="B80" s="4">
        <v>78</v>
      </c>
      <c r="C80" s="4">
        <v>69</v>
      </c>
      <c r="D80" s="4">
        <v>52</v>
      </c>
      <c r="E80" s="4">
        <v>31</v>
      </c>
      <c r="F80" s="4">
        <v>60</v>
      </c>
      <c r="G80" s="91"/>
      <c r="H80" s="91"/>
      <c r="I80" s="91"/>
      <c r="J80" s="91"/>
      <c r="K80" s="91"/>
      <c r="L80" s="91"/>
      <c r="M80" s="91"/>
      <c r="N80" s="91"/>
      <c r="O80" s="91"/>
      <c r="P80" s="91" t="s">
        <v>442</v>
      </c>
      <c r="Q80" s="91"/>
      <c r="R80" s="91"/>
      <c r="S80" s="91"/>
      <c r="T80" s="91"/>
      <c r="U80" s="91"/>
      <c r="V80" s="91" t="s">
        <v>442</v>
      </c>
      <c r="W80" s="91"/>
      <c r="X80" s="91"/>
      <c r="Y80" s="91"/>
      <c r="Z80" s="91"/>
      <c r="AA80" s="91"/>
      <c r="AB80" s="91"/>
      <c r="AC80" s="91" t="s">
        <v>442</v>
      </c>
      <c r="AD80" s="91"/>
      <c r="AE80" s="8">
        <f t="shared" si="1"/>
        <v>58</v>
      </c>
      <c r="AF80" s="29" t="s">
        <v>326</v>
      </c>
    </row>
    <row r="81" spans="1:32" ht="16.5">
      <c r="A81" s="3" t="s">
        <v>265</v>
      </c>
      <c r="B81" s="4">
        <v>54</v>
      </c>
      <c r="C81" s="4">
        <v>58</v>
      </c>
      <c r="D81" s="4">
        <v>51</v>
      </c>
      <c r="E81" s="4">
        <v>44</v>
      </c>
      <c r="F81" s="4">
        <v>47</v>
      </c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 t="s">
        <v>442</v>
      </c>
      <c r="S81" s="91"/>
      <c r="T81" s="91" t="s">
        <v>442</v>
      </c>
      <c r="U81" s="91" t="s">
        <v>442</v>
      </c>
      <c r="V81" s="91"/>
      <c r="W81" s="91"/>
      <c r="X81" s="91"/>
      <c r="Y81" s="91"/>
      <c r="Z81" s="91"/>
      <c r="AA81" s="91"/>
      <c r="AB81" s="91"/>
      <c r="AC81" s="91"/>
      <c r="AD81" s="91"/>
      <c r="AE81" s="8">
        <f t="shared" si="1"/>
        <v>50.8</v>
      </c>
      <c r="AF81" s="29" t="s">
        <v>266</v>
      </c>
    </row>
    <row r="82" spans="1:32" ht="16.5">
      <c r="A82" s="3" t="s">
        <v>217</v>
      </c>
      <c r="B82" s="4">
        <v>48</v>
      </c>
      <c r="C82" s="4">
        <v>56</v>
      </c>
      <c r="D82" s="4">
        <v>48</v>
      </c>
      <c r="E82" s="4">
        <v>36</v>
      </c>
      <c r="F82" s="4">
        <v>51</v>
      </c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 t="s">
        <v>442</v>
      </c>
      <c r="R82" s="91"/>
      <c r="S82" s="91"/>
      <c r="T82" s="91" t="s">
        <v>442</v>
      </c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8">
        <f t="shared" si="1"/>
        <v>47.8</v>
      </c>
      <c r="AF82" s="29"/>
    </row>
    <row r="83" spans="1:32" ht="16.5">
      <c r="A83" s="3" t="s">
        <v>172</v>
      </c>
      <c r="B83" s="4">
        <v>72</v>
      </c>
      <c r="C83" s="4">
        <v>37</v>
      </c>
      <c r="D83" s="5">
        <v>81</v>
      </c>
      <c r="E83" s="4">
        <v>69</v>
      </c>
      <c r="F83" s="6">
        <v>92</v>
      </c>
      <c r="G83" s="91" t="s">
        <v>442</v>
      </c>
      <c r="H83" s="91" t="s">
        <v>442</v>
      </c>
      <c r="I83" s="91" t="s">
        <v>442</v>
      </c>
      <c r="J83" s="91"/>
      <c r="K83" s="91" t="s">
        <v>442</v>
      </c>
      <c r="L83" s="91"/>
      <c r="M83" s="91" t="s">
        <v>442</v>
      </c>
      <c r="N83" s="91"/>
      <c r="O83" s="91" t="s">
        <v>442</v>
      </c>
      <c r="P83" s="91"/>
      <c r="Q83" s="91"/>
      <c r="R83" s="91"/>
      <c r="S83" s="91"/>
      <c r="T83" s="91"/>
      <c r="U83" s="91"/>
      <c r="V83" s="91"/>
      <c r="W83" s="91"/>
      <c r="X83" s="91"/>
      <c r="Y83" s="91" t="s">
        <v>442</v>
      </c>
      <c r="Z83" s="91"/>
      <c r="AA83" s="91"/>
      <c r="AB83" s="91" t="s">
        <v>442</v>
      </c>
      <c r="AC83" s="91"/>
      <c r="AD83" s="91" t="s">
        <v>442</v>
      </c>
      <c r="AE83" s="8">
        <f t="shared" si="1"/>
        <v>70.2</v>
      </c>
      <c r="AF83" s="29"/>
    </row>
    <row r="84" spans="1:32" ht="16.5">
      <c r="A84" s="3" t="s">
        <v>381</v>
      </c>
      <c r="B84" s="4">
        <v>61</v>
      </c>
      <c r="C84" s="4">
        <v>69</v>
      </c>
      <c r="D84" s="4">
        <v>14</v>
      </c>
      <c r="E84" s="4">
        <v>20</v>
      </c>
      <c r="F84" s="4">
        <v>18</v>
      </c>
      <c r="G84" s="91"/>
      <c r="H84" s="91"/>
      <c r="I84" s="91"/>
      <c r="J84" s="91"/>
      <c r="K84" s="91"/>
      <c r="L84" s="91"/>
      <c r="M84" s="91"/>
      <c r="N84" s="91"/>
      <c r="O84" s="91"/>
      <c r="P84" s="91" t="s">
        <v>442</v>
      </c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8">
        <f t="shared" si="1"/>
        <v>36.4</v>
      </c>
      <c r="AF84" s="29"/>
    </row>
    <row r="85" spans="1:32" ht="16.5">
      <c r="A85" s="3" t="s">
        <v>242</v>
      </c>
      <c r="B85" s="4">
        <v>70</v>
      </c>
      <c r="C85" s="4">
        <v>72</v>
      </c>
      <c r="D85" s="4">
        <v>71</v>
      </c>
      <c r="E85" s="4">
        <v>53</v>
      </c>
      <c r="F85" s="4">
        <v>47</v>
      </c>
      <c r="G85" s="91"/>
      <c r="H85" s="91" t="s">
        <v>442</v>
      </c>
      <c r="I85" s="91"/>
      <c r="J85" s="91"/>
      <c r="K85" s="91" t="s">
        <v>442</v>
      </c>
      <c r="L85" s="91" t="s">
        <v>442</v>
      </c>
      <c r="M85" s="91"/>
      <c r="N85" s="91" t="s">
        <v>442</v>
      </c>
      <c r="O85" s="91"/>
      <c r="P85" s="91"/>
      <c r="Q85" s="91"/>
      <c r="R85" s="91" t="s">
        <v>442</v>
      </c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 t="s">
        <v>442</v>
      </c>
      <c r="AE85" s="8">
        <f t="shared" si="1"/>
        <v>62.6</v>
      </c>
      <c r="AF85" s="29"/>
    </row>
    <row r="86" spans="1:32" ht="16.5">
      <c r="A86" s="3" t="s">
        <v>362</v>
      </c>
      <c r="B86" s="4">
        <v>70</v>
      </c>
      <c r="C86" s="5">
        <v>82</v>
      </c>
      <c r="D86" s="4">
        <v>19</v>
      </c>
      <c r="E86" s="4">
        <v>14</v>
      </c>
      <c r="F86" s="4">
        <v>28</v>
      </c>
      <c r="G86" s="91"/>
      <c r="H86" s="91"/>
      <c r="I86" s="91"/>
      <c r="J86" s="91"/>
      <c r="K86" s="91"/>
      <c r="L86" s="91"/>
      <c r="M86" s="91"/>
      <c r="N86" s="91" t="s">
        <v>442</v>
      </c>
      <c r="O86" s="91"/>
      <c r="P86" s="91"/>
      <c r="Q86" s="91" t="s">
        <v>442</v>
      </c>
      <c r="R86" s="91"/>
      <c r="S86" s="91"/>
      <c r="T86" s="91" t="s">
        <v>442</v>
      </c>
      <c r="U86" s="91"/>
      <c r="V86" s="91"/>
      <c r="W86" s="91"/>
      <c r="X86" s="91"/>
      <c r="Y86" s="91"/>
      <c r="Z86" s="91"/>
      <c r="AA86" s="91"/>
      <c r="AB86" s="91"/>
      <c r="AC86" s="91" t="s">
        <v>442</v>
      </c>
      <c r="AD86" s="91"/>
      <c r="AE86" s="8">
        <f t="shared" si="1"/>
        <v>42.6</v>
      </c>
      <c r="AF86" s="29"/>
    </row>
    <row r="87" spans="1:32" ht="16.5">
      <c r="A87" s="3" t="s">
        <v>349</v>
      </c>
      <c r="B87" s="5">
        <v>81</v>
      </c>
      <c r="C87" s="6">
        <v>90</v>
      </c>
      <c r="D87" s="4">
        <v>42</v>
      </c>
      <c r="E87" s="4">
        <v>24</v>
      </c>
      <c r="F87" s="4">
        <v>57</v>
      </c>
      <c r="G87" s="91"/>
      <c r="H87" s="91" t="s">
        <v>442</v>
      </c>
      <c r="I87" s="91"/>
      <c r="J87" s="91"/>
      <c r="K87" s="91"/>
      <c r="L87" s="91"/>
      <c r="M87" s="91"/>
      <c r="N87" s="91" t="s">
        <v>442</v>
      </c>
      <c r="O87" s="91"/>
      <c r="P87" s="91"/>
      <c r="Q87" s="91" t="s">
        <v>442</v>
      </c>
      <c r="R87" s="91" t="s">
        <v>442</v>
      </c>
      <c r="S87" s="91"/>
      <c r="T87" s="91" t="s">
        <v>442</v>
      </c>
      <c r="U87" s="91" t="s">
        <v>442</v>
      </c>
      <c r="V87" s="91"/>
      <c r="W87" s="91"/>
      <c r="X87" s="91"/>
      <c r="Y87" s="91"/>
      <c r="Z87" s="91"/>
      <c r="AA87" s="91"/>
      <c r="AB87" s="91"/>
      <c r="AC87" s="91" t="s">
        <v>442</v>
      </c>
      <c r="AD87" s="91"/>
      <c r="AE87" s="8">
        <f t="shared" si="1"/>
        <v>58.8</v>
      </c>
      <c r="AF87" s="29"/>
    </row>
    <row r="88" spans="1:32" ht="16.5">
      <c r="A88" s="3" t="s">
        <v>96</v>
      </c>
      <c r="B88" s="4">
        <v>48</v>
      </c>
      <c r="C88" s="4">
        <v>63</v>
      </c>
      <c r="D88" s="4">
        <v>47</v>
      </c>
      <c r="E88" s="4">
        <v>78</v>
      </c>
      <c r="F88" s="4">
        <v>55</v>
      </c>
      <c r="G88" s="91"/>
      <c r="H88" s="91" t="s">
        <v>442</v>
      </c>
      <c r="I88" s="91" t="s">
        <v>442</v>
      </c>
      <c r="J88" s="91"/>
      <c r="K88" s="91"/>
      <c r="L88" s="91"/>
      <c r="M88" s="91"/>
      <c r="N88" s="91"/>
      <c r="O88" s="91"/>
      <c r="P88" s="91"/>
      <c r="Q88" s="91"/>
      <c r="R88" s="91"/>
      <c r="S88" s="91" t="s">
        <v>442</v>
      </c>
      <c r="T88" s="91" t="s">
        <v>442</v>
      </c>
      <c r="U88" s="91"/>
      <c r="V88" s="91" t="s">
        <v>442</v>
      </c>
      <c r="W88" s="91"/>
      <c r="X88" s="91"/>
      <c r="Y88" s="91"/>
      <c r="Z88" s="91"/>
      <c r="AA88" s="91"/>
      <c r="AB88" s="91" t="s">
        <v>442</v>
      </c>
      <c r="AC88" s="91"/>
      <c r="AD88" s="91"/>
      <c r="AE88" s="8">
        <f t="shared" si="1"/>
        <v>58.2</v>
      </c>
      <c r="AF88" s="29"/>
    </row>
    <row r="89" spans="1:32" ht="16.5">
      <c r="A89" s="3" t="s">
        <v>360</v>
      </c>
      <c r="B89" s="4">
        <v>61</v>
      </c>
      <c r="C89" s="4">
        <v>79</v>
      </c>
      <c r="D89" s="4">
        <v>27</v>
      </c>
      <c r="E89" s="4">
        <v>31</v>
      </c>
      <c r="F89" s="4">
        <v>43</v>
      </c>
      <c r="G89" s="91"/>
      <c r="H89" s="91"/>
      <c r="I89" s="91"/>
      <c r="J89" s="91"/>
      <c r="K89" s="91"/>
      <c r="L89" s="91"/>
      <c r="M89" s="91"/>
      <c r="N89" s="91" t="s">
        <v>442</v>
      </c>
      <c r="O89" s="91"/>
      <c r="P89" s="91" t="s">
        <v>442</v>
      </c>
      <c r="Q89" s="91" t="s">
        <v>442</v>
      </c>
      <c r="R89" s="91"/>
      <c r="S89" s="91"/>
      <c r="T89" s="91" t="s">
        <v>442</v>
      </c>
      <c r="U89" s="91"/>
      <c r="V89" s="91"/>
      <c r="W89" s="91"/>
      <c r="X89" s="91" t="s">
        <v>442</v>
      </c>
      <c r="Y89" s="91"/>
      <c r="Z89" s="91"/>
      <c r="AA89" s="91"/>
      <c r="AB89" s="91"/>
      <c r="AC89" s="91"/>
      <c r="AD89" s="91"/>
      <c r="AE89" s="8">
        <f t="shared" si="1"/>
        <v>48.2</v>
      </c>
      <c r="AF89" s="29"/>
    </row>
    <row r="90" spans="1:32" ht="16.5">
      <c r="A90" s="3" t="s">
        <v>152</v>
      </c>
      <c r="B90" s="4">
        <v>55</v>
      </c>
      <c r="C90" s="4">
        <v>69</v>
      </c>
      <c r="D90" s="4">
        <v>21</v>
      </c>
      <c r="E90" s="4">
        <v>18</v>
      </c>
      <c r="F90" s="4">
        <v>21</v>
      </c>
      <c r="G90" s="91"/>
      <c r="H90" s="91"/>
      <c r="I90" s="91"/>
      <c r="J90" s="91"/>
      <c r="K90" s="91"/>
      <c r="L90" s="91"/>
      <c r="M90" s="91"/>
      <c r="N90" s="91"/>
      <c r="O90" s="91"/>
      <c r="P90" s="91" t="s">
        <v>442</v>
      </c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8">
        <f t="shared" si="1"/>
        <v>36.799999999999997</v>
      </c>
      <c r="AF90" s="29"/>
    </row>
    <row r="91" spans="1:32" ht="16.5">
      <c r="A91" s="3" t="s">
        <v>187</v>
      </c>
      <c r="B91" s="4">
        <v>77</v>
      </c>
      <c r="C91" s="5">
        <v>84</v>
      </c>
      <c r="D91" s="4">
        <v>23</v>
      </c>
      <c r="E91" s="4">
        <v>15</v>
      </c>
      <c r="F91" s="4">
        <v>56</v>
      </c>
      <c r="G91" s="91"/>
      <c r="H91" s="91"/>
      <c r="I91" s="91"/>
      <c r="J91" s="91"/>
      <c r="K91" s="91"/>
      <c r="L91" s="91"/>
      <c r="M91" s="91"/>
      <c r="N91" s="91" t="s">
        <v>442</v>
      </c>
      <c r="O91" s="91"/>
      <c r="P91" s="91"/>
      <c r="Q91" s="91"/>
      <c r="R91" s="91" t="s">
        <v>442</v>
      </c>
      <c r="S91" s="91" t="s">
        <v>442</v>
      </c>
      <c r="T91" s="91"/>
      <c r="U91" s="91" t="s">
        <v>442</v>
      </c>
      <c r="V91" s="91"/>
      <c r="W91" s="91"/>
      <c r="X91" s="91"/>
      <c r="Y91" s="91"/>
      <c r="Z91" s="91"/>
      <c r="AA91" s="91"/>
      <c r="AB91" s="91"/>
      <c r="AC91" s="91" t="s">
        <v>442</v>
      </c>
      <c r="AD91" s="91"/>
      <c r="AE91" s="8">
        <f t="shared" si="1"/>
        <v>51</v>
      </c>
      <c r="AF91" s="29"/>
    </row>
    <row r="92" spans="1:32" ht="16.5">
      <c r="A92" s="3" t="s">
        <v>58</v>
      </c>
      <c r="B92" s="5">
        <v>85</v>
      </c>
      <c r="C92" s="6">
        <v>96</v>
      </c>
      <c r="D92" s="7">
        <v>20</v>
      </c>
      <c r="E92" s="7">
        <v>12</v>
      </c>
      <c r="F92" s="4">
        <v>57</v>
      </c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 t="s">
        <v>442</v>
      </c>
      <c r="R92" s="91" t="s">
        <v>442</v>
      </c>
      <c r="S92" s="91"/>
      <c r="T92" s="91" t="s">
        <v>442</v>
      </c>
      <c r="U92" s="91" t="s">
        <v>442</v>
      </c>
      <c r="V92" s="91"/>
      <c r="W92" s="91"/>
      <c r="X92" s="91"/>
      <c r="Y92" s="91"/>
      <c r="Z92" s="91"/>
      <c r="AA92" s="91"/>
      <c r="AB92" s="91"/>
      <c r="AC92" s="91" t="s">
        <v>442</v>
      </c>
      <c r="AD92" s="91"/>
      <c r="AE92" s="8">
        <f t="shared" si="1"/>
        <v>54</v>
      </c>
      <c r="AF92" s="29"/>
    </row>
    <row r="93" spans="1:32" ht="16.5">
      <c r="A93" s="3" t="s">
        <v>355</v>
      </c>
      <c r="B93" s="4">
        <v>74</v>
      </c>
      <c r="C93" s="5">
        <v>81</v>
      </c>
      <c r="D93" s="4">
        <v>39</v>
      </c>
      <c r="E93" s="4">
        <v>36</v>
      </c>
      <c r="F93" s="4">
        <v>55</v>
      </c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 t="s">
        <v>442</v>
      </c>
      <c r="S93" s="91"/>
      <c r="T93" s="91" t="s">
        <v>442</v>
      </c>
      <c r="U93" s="91"/>
      <c r="V93" s="91"/>
      <c r="W93" s="91"/>
      <c r="X93" s="91"/>
      <c r="Y93" s="91"/>
      <c r="Z93" s="91" t="s">
        <v>442</v>
      </c>
      <c r="AA93" s="91"/>
      <c r="AB93" s="91"/>
      <c r="AC93" s="91" t="s">
        <v>442</v>
      </c>
      <c r="AD93" s="91"/>
      <c r="AE93" s="8">
        <f t="shared" si="1"/>
        <v>57</v>
      </c>
      <c r="AF93" s="29"/>
    </row>
    <row r="94" spans="1:32" ht="16.5">
      <c r="A94" s="3" t="s">
        <v>364</v>
      </c>
      <c r="B94" s="4">
        <v>62</v>
      </c>
      <c r="C94" s="4">
        <v>79</v>
      </c>
      <c r="D94" s="4">
        <v>34</v>
      </c>
      <c r="E94" s="4">
        <v>19</v>
      </c>
      <c r="F94" s="4">
        <v>41</v>
      </c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 t="s">
        <v>442</v>
      </c>
      <c r="R94" s="91"/>
      <c r="S94" s="91"/>
      <c r="T94" s="91"/>
      <c r="U94" s="91"/>
      <c r="V94" s="91"/>
      <c r="W94" s="91"/>
      <c r="X94" s="91"/>
      <c r="Y94" s="91" t="s">
        <v>442</v>
      </c>
      <c r="Z94" s="91"/>
      <c r="AA94" s="91"/>
      <c r="AB94" s="91"/>
      <c r="AC94" s="91" t="s">
        <v>442</v>
      </c>
      <c r="AD94" s="91"/>
      <c r="AE94" s="8">
        <f t="shared" si="1"/>
        <v>47</v>
      </c>
      <c r="AF94" s="29"/>
    </row>
    <row r="95" spans="1:32" ht="16.5">
      <c r="A95" s="3" t="s">
        <v>148</v>
      </c>
      <c r="B95" s="4">
        <v>60</v>
      </c>
      <c r="C95" s="4">
        <v>66</v>
      </c>
      <c r="D95" s="4">
        <v>24</v>
      </c>
      <c r="E95" s="4">
        <v>19</v>
      </c>
      <c r="F95" s="4">
        <v>22</v>
      </c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 t="s">
        <v>442</v>
      </c>
      <c r="R95" s="91"/>
      <c r="S95" s="91" t="s">
        <v>442</v>
      </c>
      <c r="T95" s="91" t="s">
        <v>442</v>
      </c>
      <c r="U95" s="91"/>
      <c r="V95" s="91" t="s">
        <v>442</v>
      </c>
      <c r="W95" s="91"/>
      <c r="X95" s="91"/>
      <c r="Y95" s="91"/>
      <c r="Z95" s="91"/>
      <c r="AA95" s="91"/>
      <c r="AB95" s="91"/>
      <c r="AC95" s="91" t="s">
        <v>442</v>
      </c>
      <c r="AD95" s="91"/>
      <c r="AE95" s="8">
        <f t="shared" si="1"/>
        <v>38.200000000000003</v>
      </c>
      <c r="AF95" s="29"/>
    </row>
    <row r="96" spans="1:32" ht="16.5">
      <c r="A96" s="3" t="s">
        <v>86</v>
      </c>
      <c r="B96" s="4">
        <v>35</v>
      </c>
      <c r="C96" s="4">
        <v>40</v>
      </c>
      <c r="D96" s="4">
        <v>65</v>
      </c>
      <c r="E96" s="4">
        <v>79</v>
      </c>
      <c r="F96" s="5">
        <v>80</v>
      </c>
      <c r="G96" s="91"/>
      <c r="H96" s="91" t="s">
        <v>442</v>
      </c>
      <c r="I96" s="91" t="s">
        <v>442</v>
      </c>
      <c r="J96" s="91"/>
      <c r="K96" s="91"/>
      <c r="L96" s="91" t="s">
        <v>442</v>
      </c>
      <c r="M96" s="91"/>
      <c r="N96" s="91"/>
      <c r="O96" s="91" t="s">
        <v>442</v>
      </c>
      <c r="P96" s="91"/>
      <c r="Q96" s="91"/>
      <c r="R96" s="91"/>
      <c r="S96" s="91"/>
      <c r="T96" s="91" t="s">
        <v>442</v>
      </c>
      <c r="U96" s="91"/>
      <c r="V96" s="91"/>
      <c r="W96" s="91"/>
      <c r="X96" s="91"/>
      <c r="Y96" s="91"/>
      <c r="Z96" s="91"/>
      <c r="AA96" s="91"/>
      <c r="AB96" s="91" t="s">
        <v>442</v>
      </c>
      <c r="AC96" s="91"/>
      <c r="AD96" s="91"/>
      <c r="AE96" s="8">
        <f t="shared" si="1"/>
        <v>59.8</v>
      </c>
      <c r="AF96" s="29"/>
    </row>
    <row r="97" spans="1:32" ht="16.5">
      <c r="A97" s="3" t="s">
        <v>127</v>
      </c>
      <c r="B97" s="4">
        <v>65</v>
      </c>
      <c r="C97" s="4">
        <v>79</v>
      </c>
      <c r="D97" s="4">
        <v>18</v>
      </c>
      <c r="E97" s="4">
        <v>14</v>
      </c>
      <c r="F97" s="4">
        <v>23</v>
      </c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 t="s">
        <v>442</v>
      </c>
      <c r="S97" s="91"/>
      <c r="T97" s="91" t="s">
        <v>442</v>
      </c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8">
        <f t="shared" si="1"/>
        <v>39.799999999999997</v>
      </c>
      <c r="AF97" s="29"/>
    </row>
    <row r="98" spans="1:32" ht="16.5">
      <c r="A98" s="3" t="s">
        <v>246</v>
      </c>
      <c r="B98" s="4">
        <v>69</v>
      </c>
      <c r="C98" s="4">
        <v>78</v>
      </c>
      <c r="D98" s="4">
        <v>39</v>
      </c>
      <c r="E98" s="4">
        <v>28</v>
      </c>
      <c r="F98" s="4">
        <v>54</v>
      </c>
      <c r="G98" s="91"/>
      <c r="H98" s="91"/>
      <c r="I98" s="91"/>
      <c r="J98" s="91"/>
      <c r="K98" s="91"/>
      <c r="L98" s="91"/>
      <c r="M98" s="91"/>
      <c r="N98" s="91" t="s">
        <v>442</v>
      </c>
      <c r="O98" s="91"/>
      <c r="P98" s="91"/>
      <c r="Q98" s="91" t="s">
        <v>442</v>
      </c>
      <c r="R98" s="91"/>
      <c r="S98" s="91" t="s">
        <v>442</v>
      </c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8">
        <f t="shared" si="1"/>
        <v>53.6</v>
      </c>
      <c r="AF98" s="29"/>
    </row>
    <row r="99" spans="1:32" ht="16.5">
      <c r="A99" s="3" t="s">
        <v>225</v>
      </c>
      <c r="B99" s="5">
        <v>82</v>
      </c>
      <c r="C99" s="6">
        <v>96</v>
      </c>
      <c r="D99" s="4">
        <v>71</v>
      </c>
      <c r="E99" s="4">
        <v>35</v>
      </c>
      <c r="F99" s="4">
        <v>70</v>
      </c>
      <c r="G99" s="91"/>
      <c r="H99" s="91" t="s">
        <v>442</v>
      </c>
      <c r="I99" s="91"/>
      <c r="J99" s="91"/>
      <c r="K99" s="91"/>
      <c r="L99" s="91"/>
      <c r="M99" s="91"/>
      <c r="N99" s="91"/>
      <c r="O99" s="91"/>
      <c r="P99" s="91"/>
      <c r="Q99" s="91" t="s">
        <v>442</v>
      </c>
      <c r="R99" s="91" t="s">
        <v>442</v>
      </c>
      <c r="S99" s="91"/>
      <c r="T99" s="91"/>
      <c r="U99" s="91" t="s">
        <v>442</v>
      </c>
      <c r="V99" s="91"/>
      <c r="W99" s="91"/>
      <c r="X99" s="91"/>
      <c r="Y99" s="91" t="s">
        <v>442</v>
      </c>
      <c r="Z99" s="91"/>
      <c r="AA99" s="91"/>
      <c r="AB99" s="91"/>
      <c r="AC99" s="91" t="s">
        <v>442</v>
      </c>
      <c r="AD99" s="91" t="s">
        <v>442</v>
      </c>
      <c r="AE99" s="8">
        <f t="shared" si="1"/>
        <v>70.8</v>
      </c>
      <c r="AF99" s="29"/>
    </row>
    <row r="100" spans="1:32" ht="16.5">
      <c r="A100" s="3" t="s">
        <v>294</v>
      </c>
      <c r="B100" s="4">
        <v>31</v>
      </c>
      <c r="C100" s="4">
        <v>29</v>
      </c>
      <c r="D100" s="4">
        <v>60</v>
      </c>
      <c r="E100" s="4">
        <v>73</v>
      </c>
      <c r="F100" s="4">
        <v>68</v>
      </c>
      <c r="G100" s="91"/>
      <c r="H100" s="91" t="s">
        <v>442</v>
      </c>
      <c r="I100" s="91" t="s">
        <v>442</v>
      </c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 t="s">
        <v>442</v>
      </c>
      <c r="V100" s="91"/>
      <c r="W100" s="91"/>
      <c r="X100" s="91"/>
      <c r="Y100" s="91"/>
      <c r="Z100" s="91"/>
      <c r="AA100" s="91"/>
      <c r="AB100" s="91"/>
      <c r="AC100" s="91"/>
      <c r="AD100" s="91"/>
      <c r="AE100" s="8">
        <f t="shared" si="1"/>
        <v>52.2</v>
      </c>
      <c r="AF100" s="29"/>
    </row>
    <row r="101" spans="1:32" ht="16.5">
      <c r="A101" s="3" t="s">
        <v>372</v>
      </c>
      <c r="B101" s="4">
        <v>54</v>
      </c>
      <c r="C101" s="4">
        <v>31</v>
      </c>
      <c r="D101" s="4">
        <v>68</v>
      </c>
      <c r="E101" s="4">
        <v>64</v>
      </c>
      <c r="F101" s="4">
        <v>65</v>
      </c>
      <c r="G101" s="91"/>
      <c r="H101" s="91" t="s">
        <v>442</v>
      </c>
      <c r="I101" s="91" t="s">
        <v>442</v>
      </c>
      <c r="J101" s="91"/>
      <c r="K101" s="91"/>
      <c r="L101" s="91"/>
      <c r="M101" s="91" t="s">
        <v>442</v>
      </c>
      <c r="N101" s="91"/>
      <c r="O101" s="91" t="s">
        <v>442</v>
      </c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8">
        <f t="shared" si="1"/>
        <v>56.4</v>
      </c>
      <c r="AF101" s="29"/>
    </row>
    <row r="102" spans="1:32" ht="16.5">
      <c r="A102" s="3" t="s">
        <v>107</v>
      </c>
      <c r="B102" s="4">
        <v>67</v>
      </c>
      <c r="C102" s="5">
        <v>81</v>
      </c>
      <c r="D102" s="4">
        <v>25</v>
      </c>
      <c r="E102" s="4">
        <v>15</v>
      </c>
      <c r="F102" s="4">
        <v>36</v>
      </c>
      <c r="G102" s="91"/>
      <c r="H102" s="91"/>
      <c r="I102" s="91"/>
      <c r="J102" s="91"/>
      <c r="K102" s="91"/>
      <c r="L102" s="91"/>
      <c r="M102" s="91"/>
      <c r="N102" s="91" t="s">
        <v>442</v>
      </c>
      <c r="O102" s="91"/>
      <c r="P102" s="91"/>
      <c r="Q102" s="91" t="s">
        <v>442</v>
      </c>
      <c r="R102" s="91"/>
      <c r="S102" s="91"/>
      <c r="T102" s="91"/>
      <c r="U102" s="91" t="s">
        <v>442</v>
      </c>
      <c r="V102" s="91" t="s">
        <v>442</v>
      </c>
      <c r="W102" s="91"/>
      <c r="X102" s="91"/>
      <c r="Y102" s="91"/>
      <c r="Z102" s="91"/>
      <c r="AA102" s="91"/>
      <c r="AB102" s="91"/>
      <c r="AC102" s="91" t="s">
        <v>442</v>
      </c>
      <c r="AD102" s="91"/>
      <c r="AE102" s="8">
        <f t="shared" si="1"/>
        <v>44.8</v>
      </c>
      <c r="AF102" s="29"/>
    </row>
    <row r="103" spans="1:32" ht="16.5">
      <c r="A103" s="3" t="s">
        <v>228</v>
      </c>
      <c r="B103" s="4">
        <v>74</v>
      </c>
      <c r="C103" s="4">
        <v>45</v>
      </c>
      <c r="D103" s="5">
        <v>84</v>
      </c>
      <c r="E103" s="5">
        <v>87</v>
      </c>
      <c r="F103" s="5">
        <v>80</v>
      </c>
      <c r="G103" s="91" t="s">
        <v>442</v>
      </c>
      <c r="H103" s="91" t="s">
        <v>442</v>
      </c>
      <c r="I103" s="91" t="s">
        <v>442</v>
      </c>
      <c r="J103" s="91" t="s">
        <v>442</v>
      </c>
      <c r="K103" s="91" t="s">
        <v>442</v>
      </c>
      <c r="L103" s="91" t="s">
        <v>442</v>
      </c>
      <c r="M103" s="91"/>
      <c r="N103" s="91"/>
      <c r="O103" s="91" t="s">
        <v>442</v>
      </c>
      <c r="P103" s="91"/>
      <c r="Q103" s="91"/>
      <c r="R103" s="91"/>
      <c r="S103" s="91"/>
      <c r="T103" s="91" t="s">
        <v>442</v>
      </c>
      <c r="U103" s="91"/>
      <c r="V103" s="91"/>
      <c r="W103" s="91"/>
      <c r="X103" s="91"/>
      <c r="Y103" s="91"/>
      <c r="Z103" s="91"/>
      <c r="AA103" s="91"/>
      <c r="AB103" s="91" t="s">
        <v>442</v>
      </c>
      <c r="AC103" s="91"/>
      <c r="AD103" s="91" t="s">
        <v>442</v>
      </c>
      <c r="AE103" s="8">
        <f t="shared" si="1"/>
        <v>74</v>
      </c>
      <c r="AF103" s="29"/>
    </row>
    <row r="104" spans="1:32" ht="16.5">
      <c r="A104" s="3" t="s">
        <v>285</v>
      </c>
      <c r="B104" s="4">
        <v>25</v>
      </c>
      <c r="C104" s="4">
        <v>20</v>
      </c>
      <c r="D104" s="5">
        <v>84</v>
      </c>
      <c r="E104" s="4">
        <v>71</v>
      </c>
      <c r="F104" s="4">
        <v>72</v>
      </c>
      <c r="G104" s="91" t="s">
        <v>442</v>
      </c>
      <c r="H104" s="91"/>
      <c r="I104" s="91" t="s">
        <v>442</v>
      </c>
      <c r="J104" s="91" t="s">
        <v>442</v>
      </c>
      <c r="K104" s="91" t="s">
        <v>442</v>
      </c>
      <c r="L104" s="91" t="s">
        <v>442</v>
      </c>
      <c r="M104" s="91" t="s">
        <v>442</v>
      </c>
      <c r="N104" s="91"/>
      <c r="O104" s="91" t="s">
        <v>442</v>
      </c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 t="s">
        <v>442</v>
      </c>
      <c r="AC104" s="91"/>
      <c r="AD104" s="91"/>
      <c r="AE104" s="8">
        <f t="shared" si="1"/>
        <v>54.4</v>
      </c>
      <c r="AF104" s="29"/>
    </row>
    <row r="105" spans="1:32" ht="16.5">
      <c r="A105" s="3" t="s">
        <v>75</v>
      </c>
      <c r="B105" s="4">
        <v>65</v>
      </c>
      <c r="C105" s="4">
        <v>53</v>
      </c>
      <c r="D105" s="5">
        <v>83</v>
      </c>
      <c r="E105" s="4">
        <v>65</v>
      </c>
      <c r="F105" s="4">
        <v>53</v>
      </c>
      <c r="G105" s="91"/>
      <c r="H105" s="91" t="s">
        <v>442</v>
      </c>
      <c r="I105" s="91"/>
      <c r="J105" s="91"/>
      <c r="K105" s="91" t="s">
        <v>442</v>
      </c>
      <c r="L105" s="91" t="s">
        <v>442</v>
      </c>
      <c r="M105" s="91" t="s">
        <v>442</v>
      </c>
      <c r="N105" s="91"/>
      <c r="O105" s="91"/>
      <c r="P105" s="91"/>
      <c r="Q105" s="91"/>
      <c r="R105" s="91"/>
      <c r="S105" s="91"/>
      <c r="T105" s="91"/>
      <c r="U105" s="91"/>
      <c r="V105" s="91" t="s">
        <v>442</v>
      </c>
      <c r="W105" s="91"/>
      <c r="X105" s="91"/>
      <c r="Y105" s="91"/>
      <c r="Z105" s="91"/>
      <c r="AA105" s="91"/>
      <c r="AB105" s="91" t="s">
        <v>442</v>
      </c>
      <c r="AC105" s="91"/>
      <c r="AD105" s="91"/>
      <c r="AE105" s="8">
        <f t="shared" si="1"/>
        <v>63.8</v>
      </c>
      <c r="AF105" s="29"/>
    </row>
    <row r="106" spans="1:32" ht="16.5">
      <c r="A106" s="3" t="s">
        <v>101</v>
      </c>
      <c r="B106" s="4">
        <v>40</v>
      </c>
      <c r="C106" s="4">
        <v>44</v>
      </c>
      <c r="D106" s="4">
        <v>65</v>
      </c>
      <c r="E106" s="4">
        <v>79</v>
      </c>
      <c r="F106" s="4">
        <v>60</v>
      </c>
      <c r="G106" s="91"/>
      <c r="H106" s="91" t="s">
        <v>442</v>
      </c>
      <c r="I106" s="91" t="s">
        <v>442</v>
      </c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 t="s">
        <v>442</v>
      </c>
      <c r="AC106" s="91"/>
      <c r="AD106" s="91"/>
      <c r="AE106" s="8">
        <f t="shared" si="1"/>
        <v>57.6</v>
      </c>
      <c r="AF106" s="29"/>
    </row>
    <row r="107" spans="1:32" ht="16.5">
      <c r="A107" s="3" t="s">
        <v>198</v>
      </c>
      <c r="B107" s="4">
        <v>62</v>
      </c>
      <c r="C107" s="4">
        <v>70</v>
      </c>
      <c r="D107" s="4">
        <v>66</v>
      </c>
      <c r="E107" s="4">
        <v>60</v>
      </c>
      <c r="F107" s="4">
        <v>69</v>
      </c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 t="s">
        <v>442</v>
      </c>
      <c r="R107" s="91"/>
      <c r="S107" s="91"/>
      <c r="T107" s="91"/>
      <c r="U107" s="91" t="s">
        <v>442</v>
      </c>
      <c r="V107" s="91"/>
      <c r="W107" s="91"/>
      <c r="X107" s="91"/>
      <c r="Y107" s="91"/>
      <c r="Z107" s="91"/>
      <c r="AA107" s="91"/>
      <c r="AB107" s="91"/>
      <c r="AC107" s="91"/>
      <c r="AD107" s="91"/>
      <c r="AE107" s="8">
        <f t="shared" si="1"/>
        <v>65.400000000000006</v>
      </c>
      <c r="AF107" s="29"/>
    </row>
    <row r="108" spans="1:32" ht="16.5">
      <c r="A108" s="3" t="s">
        <v>116</v>
      </c>
      <c r="B108" s="4">
        <v>35</v>
      </c>
      <c r="C108" s="4">
        <v>43</v>
      </c>
      <c r="D108" s="4">
        <v>67</v>
      </c>
      <c r="E108" s="4">
        <v>74</v>
      </c>
      <c r="F108" s="4">
        <v>53</v>
      </c>
      <c r="G108" s="91"/>
      <c r="H108" s="91" t="s">
        <v>442</v>
      </c>
      <c r="I108" s="91"/>
      <c r="J108" s="91" t="s">
        <v>442</v>
      </c>
      <c r="K108" s="91" t="s">
        <v>442</v>
      </c>
      <c r="L108" s="91"/>
      <c r="M108" s="91"/>
      <c r="N108" s="91"/>
      <c r="O108" s="91" t="s">
        <v>442</v>
      </c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8">
        <f t="shared" si="1"/>
        <v>54.4</v>
      </c>
      <c r="AF108" s="29"/>
    </row>
    <row r="109" spans="1:32" ht="16.5">
      <c r="A109" s="3" t="s">
        <v>290</v>
      </c>
      <c r="B109" s="4">
        <v>74</v>
      </c>
      <c r="C109" s="4">
        <v>68</v>
      </c>
      <c r="D109" s="4">
        <v>58</v>
      </c>
      <c r="E109" s="4">
        <v>44</v>
      </c>
      <c r="F109" s="4">
        <v>63</v>
      </c>
      <c r="G109" s="91"/>
      <c r="H109" s="91"/>
      <c r="I109" s="91"/>
      <c r="J109" s="91"/>
      <c r="K109" s="91"/>
      <c r="L109" s="91"/>
      <c r="M109" s="91"/>
      <c r="N109" s="91"/>
      <c r="O109" s="91" t="s">
        <v>442</v>
      </c>
      <c r="P109" s="91"/>
      <c r="Q109" s="91"/>
      <c r="R109" s="91"/>
      <c r="S109" s="91" t="s">
        <v>442</v>
      </c>
      <c r="T109" s="91"/>
      <c r="U109" s="91" t="s">
        <v>442</v>
      </c>
      <c r="V109" s="91" t="s">
        <v>442</v>
      </c>
      <c r="W109" s="91"/>
      <c r="X109" s="91"/>
      <c r="Y109" s="91"/>
      <c r="Z109" s="91"/>
      <c r="AA109" s="91"/>
      <c r="AB109" s="91"/>
      <c r="AC109" s="91"/>
      <c r="AD109" s="91"/>
      <c r="AE109" s="8">
        <f t="shared" si="1"/>
        <v>61.4</v>
      </c>
      <c r="AF109" s="29"/>
    </row>
    <row r="110" spans="1:32" ht="16.5">
      <c r="A110" s="3" t="s">
        <v>211</v>
      </c>
      <c r="B110" s="4">
        <v>18</v>
      </c>
      <c r="C110" s="4">
        <v>30</v>
      </c>
      <c r="D110" s="4">
        <v>54</v>
      </c>
      <c r="E110" s="4">
        <v>64</v>
      </c>
      <c r="F110" s="4">
        <v>56</v>
      </c>
      <c r="G110" s="91"/>
      <c r="H110" s="91" t="s">
        <v>442</v>
      </c>
      <c r="I110" s="91"/>
      <c r="J110" s="91"/>
      <c r="K110" s="91" t="s">
        <v>442</v>
      </c>
      <c r="L110" s="91"/>
      <c r="M110" s="91" t="s">
        <v>442</v>
      </c>
      <c r="N110" s="91"/>
      <c r="O110" s="91" t="s">
        <v>442</v>
      </c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8">
        <f t="shared" si="1"/>
        <v>44.4</v>
      </c>
      <c r="AF110" s="29"/>
    </row>
    <row r="111" spans="1:32" ht="16.5">
      <c r="A111" s="3" t="s">
        <v>329</v>
      </c>
      <c r="B111" s="4">
        <v>72</v>
      </c>
      <c r="C111" s="4">
        <v>71</v>
      </c>
      <c r="D111" s="4">
        <v>56</v>
      </c>
      <c r="E111" s="4">
        <v>50</v>
      </c>
      <c r="F111" s="4">
        <v>65</v>
      </c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 t="s">
        <v>442</v>
      </c>
      <c r="V111" s="91"/>
      <c r="W111" s="91"/>
      <c r="X111" s="91"/>
      <c r="Y111" s="91"/>
      <c r="Z111" s="91" t="s">
        <v>442</v>
      </c>
      <c r="AA111" s="91"/>
      <c r="AB111" s="91"/>
      <c r="AC111" s="91"/>
      <c r="AD111" s="91"/>
      <c r="AE111" s="8">
        <f t="shared" si="1"/>
        <v>62.8</v>
      </c>
      <c r="AF111" s="29"/>
    </row>
    <row r="112" spans="1:32" ht="16.5">
      <c r="A112" s="3" t="s">
        <v>876</v>
      </c>
      <c r="B112" s="4">
        <v>38</v>
      </c>
      <c r="C112" s="4">
        <v>17</v>
      </c>
      <c r="D112" s="4">
        <v>75</v>
      </c>
      <c r="E112" s="5">
        <v>88</v>
      </c>
      <c r="F112" s="5">
        <v>82</v>
      </c>
      <c r="G112" s="91" t="s">
        <v>442</v>
      </c>
      <c r="H112" s="91" t="s">
        <v>442</v>
      </c>
      <c r="I112" s="91" t="s">
        <v>442</v>
      </c>
      <c r="J112" s="91" t="s">
        <v>442</v>
      </c>
      <c r="K112" s="91"/>
      <c r="L112" s="91"/>
      <c r="M112" s="91" t="s">
        <v>442</v>
      </c>
      <c r="N112" s="91"/>
      <c r="O112" s="91" t="s">
        <v>442</v>
      </c>
      <c r="P112" s="91"/>
      <c r="Q112" s="91"/>
      <c r="R112" s="91"/>
      <c r="S112" s="91"/>
      <c r="T112" s="91"/>
      <c r="U112" s="91"/>
      <c r="V112" s="91"/>
      <c r="W112" s="91"/>
      <c r="X112" s="91"/>
      <c r="Y112" s="91" t="s">
        <v>442</v>
      </c>
      <c r="Z112" s="91"/>
      <c r="AA112" s="91"/>
      <c r="AB112" s="91" t="s">
        <v>442</v>
      </c>
      <c r="AC112" s="91"/>
      <c r="AD112" s="91"/>
      <c r="AE112" s="8">
        <f t="shared" si="1"/>
        <v>60</v>
      </c>
      <c r="AF112" s="29"/>
    </row>
    <row r="113" spans="1:32" ht="16.5">
      <c r="A113" s="3" t="s">
        <v>234</v>
      </c>
      <c r="B113" s="4">
        <v>24</v>
      </c>
      <c r="C113" s="4">
        <v>38</v>
      </c>
      <c r="D113" s="4">
        <v>67</v>
      </c>
      <c r="E113" s="5">
        <v>86</v>
      </c>
      <c r="F113" s="4">
        <v>51</v>
      </c>
      <c r="G113" s="91"/>
      <c r="H113" s="91" t="s">
        <v>442</v>
      </c>
      <c r="I113" s="91"/>
      <c r="J113" s="91" t="s">
        <v>442</v>
      </c>
      <c r="K113" s="91" t="s">
        <v>442</v>
      </c>
      <c r="L113" s="91" t="s">
        <v>442</v>
      </c>
      <c r="M113" s="91" t="s">
        <v>442</v>
      </c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8">
        <f t="shared" si="1"/>
        <v>53.2</v>
      </c>
      <c r="AF113" s="29"/>
    </row>
    <row r="114" spans="1:32" ht="16.5">
      <c r="A114" s="3" t="s">
        <v>388</v>
      </c>
      <c r="B114" s="4">
        <v>66</v>
      </c>
      <c r="C114" s="4">
        <v>50</v>
      </c>
      <c r="D114" s="4">
        <v>72</v>
      </c>
      <c r="E114" s="5">
        <v>80</v>
      </c>
      <c r="F114" s="4">
        <v>65</v>
      </c>
      <c r="G114" s="91"/>
      <c r="H114" s="91" t="s">
        <v>442</v>
      </c>
      <c r="I114" s="91" t="s">
        <v>442</v>
      </c>
      <c r="J114" s="91" t="s">
        <v>442</v>
      </c>
      <c r="K114" s="91"/>
      <c r="L114" s="91"/>
      <c r="M114" s="91"/>
      <c r="N114" s="91"/>
      <c r="O114" s="91" t="s">
        <v>442</v>
      </c>
      <c r="P114" s="91"/>
      <c r="Q114" s="91"/>
      <c r="R114" s="91"/>
      <c r="S114" s="91"/>
      <c r="T114" s="91"/>
      <c r="U114" s="91" t="s">
        <v>442</v>
      </c>
      <c r="V114" s="91"/>
      <c r="W114" s="91"/>
      <c r="X114" s="91"/>
      <c r="Y114" s="91" t="s">
        <v>442</v>
      </c>
      <c r="Z114" s="91"/>
      <c r="AA114" s="91"/>
      <c r="AB114" s="91"/>
      <c r="AC114" s="91"/>
      <c r="AD114" s="91" t="s">
        <v>442</v>
      </c>
      <c r="AE114" s="8">
        <f t="shared" si="1"/>
        <v>66.599999999999994</v>
      </c>
      <c r="AF114" s="29"/>
    </row>
    <row r="115" spans="1:32" ht="16.5">
      <c r="A115" s="3" t="s">
        <v>316</v>
      </c>
      <c r="B115" s="4">
        <v>64</v>
      </c>
      <c r="C115" s="4">
        <v>35</v>
      </c>
      <c r="D115" s="4">
        <v>70</v>
      </c>
      <c r="E115" s="5">
        <v>82</v>
      </c>
      <c r="F115" s="5">
        <v>80</v>
      </c>
      <c r="G115" s="91" t="s">
        <v>442</v>
      </c>
      <c r="H115" s="91" t="s">
        <v>442</v>
      </c>
      <c r="I115" s="91"/>
      <c r="J115" s="91" t="s">
        <v>442</v>
      </c>
      <c r="K115" s="91"/>
      <c r="L115" s="91"/>
      <c r="M115" s="91"/>
      <c r="N115" s="91"/>
      <c r="O115" s="91" t="s">
        <v>442</v>
      </c>
      <c r="P115" s="91"/>
      <c r="Q115" s="91"/>
      <c r="R115" s="91"/>
      <c r="S115" s="91"/>
      <c r="T115" s="91"/>
      <c r="U115" s="91"/>
      <c r="V115" s="91"/>
      <c r="W115" s="91"/>
      <c r="X115" s="91"/>
      <c r="Y115" s="91" t="s">
        <v>442</v>
      </c>
      <c r="Z115" s="91"/>
      <c r="AA115" s="91"/>
      <c r="AB115" s="91"/>
      <c r="AC115" s="91"/>
      <c r="AD115" s="91"/>
      <c r="AE115" s="8">
        <f t="shared" si="1"/>
        <v>66.2</v>
      </c>
      <c r="AF115" s="29"/>
    </row>
    <row r="116" spans="1:32" ht="16.5">
      <c r="A116" s="3" t="s">
        <v>345</v>
      </c>
      <c r="B116" s="5">
        <v>81</v>
      </c>
      <c r="C116" s="4">
        <v>66</v>
      </c>
      <c r="D116" s="6">
        <v>90</v>
      </c>
      <c r="E116" s="5">
        <v>83</v>
      </c>
      <c r="F116" s="4">
        <v>74</v>
      </c>
      <c r="G116" s="91"/>
      <c r="H116" s="91" t="s">
        <v>442</v>
      </c>
      <c r="I116" s="91"/>
      <c r="J116" s="91" t="s">
        <v>442</v>
      </c>
      <c r="K116" s="91" t="s">
        <v>442</v>
      </c>
      <c r="L116" s="91"/>
      <c r="M116" s="91" t="s">
        <v>442</v>
      </c>
      <c r="N116" s="91"/>
      <c r="O116" s="91"/>
      <c r="P116" s="91" t="s">
        <v>442</v>
      </c>
      <c r="Q116" s="91"/>
      <c r="R116" s="91"/>
      <c r="S116" s="91"/>
      <c r="T116" s="91" t="s">
        <v>442</v>
      </c>
      <c r="U116" s="91"/>
      <c r="V116" s="91" t="s">
        <v>442</v>
      </c>
      <c r="W116" s="91"/>
      <c r="X116" s="91"/>
      <c r="Y116" s="91" t="s">
        <v>442</v>
      </c>
      <c r="Z116" s="91"/>
      <c r="AA116" s="91"/>
      <c r="AB116" s="91" t="s">
        <v>442</v>
      </c>
      <c r="AC116" s="91"/>
      <c r="AD116" s="91" t="s">
        <v>442</v>
      </c>
      <c r="AE116" s="8">
        <f t="shared" si="1"/>
        <v>78.8</v>
      </c>
      <c r="AF116" s="29"/>
    </row>
    <row r="117" spans="1:32" ht="16.5">
      <c r="A117" s="3" t="s">
        <v>384</v>
      </c>
      <c r="B117" s="4">
        <v>79</v>
      </c>
      <c r="C117" s="4">
        <v>65</v>
      </c>
      <c r="D117" s="5">
        <v>86</v>
      </c>
      <c r="E117" s="5">
        <v>87</v>
      </c>
      <c r="F117" s="4">
        <v>71</v>
      </c>
      <c r="G117" s="91" t="s">
        <v>442</v>
      </c>
      <c r="H117" s="91"/>
      <c r="I117" s="91" t="s">
        <v>442</v>
      </c>
      <c r="J117" s="91"/>
      <c r="K117" s="91" t="s">
        <v>442</v>
      </c>
      <c r="L117" s="91" t="s">
        <v>442</v>
      </c>
      <c r="M117" s="91" t="s">
        <v>442</v>
      </c>
      <c r="N117" s="91"/>
      <c r="O117" s="91" t="s">
        <v>442</v>
      </c>
      <c r="P117" s="91" t="s">
        <v>442</v>
      </c>
      <c r="Q117" s="91"/>
      <c r="R117" s="91"/>
      <c r="S117" s="91"/>
      <c r="T117" s="91" t="s">
        <v>442</v>
      </c>
      <c r="U117" s="91"/>
      <c r="V117" s="91" t="s">
        <v>442</v>
      </c>
      <c r="W117" s="91"/>
      <c r="X117" s="91"/>
      <c r="Y117" s="91"/>
      <c r="Z117" s="91" t="s">
        <v>442</v>
      </c>
      <c r="AA117" s="91"/>
      <c r="AB117" s="91" t="s">
        <v>442</v>
      </c>
      <c r="AC117" s="91" t="s">
        <v>442</v>
      </c>
      <c r="AD117" s="91"/>
      <c r="AE117" s="8">
        <f t="shared" si="1"/>
        <v>77.599999999999994</v>
      </c>
      <c r="AF117" s="29"/>
    </row>
    <row r="118" spans="1:32" ht="16.5">
      <c r="A118" s="3" t="s">
        <v>271</v>
      </c>
      <c r="B118" s="6">
        <v>98</v>
      </c>
      <c r="C118" s="4">
        <v>61</v>
      </c>
      <c r="D118" s="6">
        <v>99</v>
      </c>
      <c r="E118" s="6">
        <v>91</v>
      </c>
      <c r="F118" s="5">
        <v>81</v>
      </c>
      <c r="G118" s="91" t="s">
        <v>442</v>
      </c>
      <c r="H118" s="91" t="s">
        <v>442</v>
      </c>
      <c r="I118" s="91" t="s">
        <v>442</v>
      </c>
      <c r="J118" s="91" t="s">
        <v>442</v>
      </c>
      <c r="K118" s="91" t="s">
        <v>442</v>
      </c>
      <c r="L118" s="91" t="s">
        <v>442</v>
      </c>
      <c r="M118" s="91" t="s">
        <v>442</v>
      </c>
      <c r="N118" s="91" t="s">
        <v>442</v>
      </c>
      <c r="O118" s="91" t="s">
        <v>442</v>
      </c>
      <c r="P118" s="91" t="s">
        <v>442</v>
      </c>
      <c r="Q118" s="91"/>
      <c r="R118" s="91"/>
      <c r="S118" s="91"/>
      <c r="T118" s="91" t="s">
        <v>442</v>
      </c>
      <c r="U118" s="91" t="s">
        <v>442</v>
      </c>
      <c r="V118" s="91" t="s">
        <v>442</v>
      </c>
      <c r="W118" s="91"/>
      <c r="X118" s="91"/>
      <c r="Y118" s="91" t="s">
        <v>442</v>
      </c>
      <c r="Z118" s="91" t="s">
        <v>442</v>
      </c>
      <c r="AA118" s="91"/>
      <c r="AB118" s="91" t="s">
        <v>442</v>
      </c>
      <c r="AC118" s="91"/>
      <c r="AD118" s="91" t="s">
        <v>442</v>
      </c>
      <c r="AE118" s="8">
        <f t="shared" si="1"/>
        <v>86</v>
      </c>
      <c r="AF118" s="29"/>
    </row>
    <row r="119" spans="1:32" ht="16.5">
      <c r="A119" s="3" t="s">
        <v>335</v>
      </c>
      <c r="B119" s="4">
        <v>71</v>
      </c>
      <c r="C119" s="4">
        <v>73</v>
      </c>
      <c r="D119" s="4">
        <v>24</v>
      </c>
      <c r="E119" s="4">
        <v>27</v>
      </c>
      <c r="F119" s="4">
        <v>30</v>
      </c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 t="s">
        <v>442</v>
      </c>
      <c r="V119" s="91" t="s">
        <v>442</v>
      </c>
      <c r="W119" s="91"/>
      <c r="X119" s="91"/>
      <c r="Y119" s="91"/>
      <c r="Z119" s="91"/>
      <c r="AA119" s="91"/>
      <c r="AB119" s="91"/>
      <c r="AC119" s="91"/>
      <c r="AD119" s="91"/>
      <c r="AE119" s="8">
        <f t="shared" si="1"/>
        <v>45</v>
      </c>
      <c r="AF119" s="29"/>
    </row>
    <row r="120" spans="1:32" ht="16.5">
      <c r="A120" s="3" t="s">
        <v>168</v>
      </c>
      <c r="B120" s="5">
        <v>87</v>
      </c>
      <c r="C120" s="4">
        <v>67</v>
      </c>
      <c r="D120" s="6">
        <v>96</v>
      </c>
      <c r="E120" s="5">
        <v>88</v>
      </c>
      <c r="F120" s="5">
        <v>84</v>
      </c>
      <c r="G120" s="91" t="s">
        <v>442</v>
      </c>
      <c r="H120" s="91" t="s">
        <v>442</v>
      </c>
      <c r="I120" s="91" t="s">
        <v>442</v>
      </c>
      <c r="J120" s="91" t="s">
        <v>442</v>
      </c>
      <c r="K120" s="91" t="s">
        <v>442</v>
      </c>
      <c r="L120" s="91" t="s">
        <v>442</v>
      </c>
      <c r="M120" s="91"/>
      <c r="N120" s="91"/>
      <c r="O120" s="91" t="s">
        <v>442</v>
      </c>
      <c r="P120" s="91" t="s">
        <v>442</v>
      </c>
      <c r="Q120" s="91"/>
      <c r="R120" s="91"/>
      <c r="S120" s="91"/>
      <c r="T120" s="91" t="s">
        <v>442</v>
      </c>
      <c r="U120" s="91" t="s">
        <v>442</v>
      </c>
      <c r="V120" s="91" t="s">
        <v>442</v>
      </c>
      <c r="W120" s="91"/>
      <c r="X120" s="91"/>
      <c r="Y120" s="91" t="s">
        <v>442</v>
      </c>
      <c r="Z120" s="91" t="s">
        <v>442</v>
      </c>
      <c r="AA120" s="91"/>
      <c r="AB120" s="91" t="s">
        <v>442</v>
      </c>
      <c r="AC120" s="91"/>
      <c r="AD120" s="91"/>
      <c r="AE120" s="8">
        <f t="shared" si="1"/>
        <v>84.4</v>
      </c>
      <c r="AF120" s="29"/>
    </row>
    <row r="121" spans="1:32" ht="16.5">
      <c r="A121" s="3" t="s">
        <v>226</v>
      </c>
      <c r="B121" s="5">
        <v>83</v>
      </c>
      <c r="C121" s="5">
        <v>80</v>
      </c>
      <c r="D121" s="5">
        <v>83</v>
      </c>
      <c r="E121" s="4">
        <v>70</v>
      </c>
      <c r="F121" s="4">
        <v>78</v>
      </c>
      <c r="G121" s="91"/>
      <c r="H121" s="91" t="s">
        <v>442</v>
      </c>
      <c r="I121" s="91"/>
      <c r="J121" s="91"/>
      <c r="K121" s="91" t="s">
        <v>442</v>
      </c>
      <c r="L121" s="91" t="s">
        <v>442</v>
      </c>
      <c r="M121" s="91"/>
      <c r="N121" s="91" t="s">
        <v>442</v>
      </c>
      <c r="O121" s="91" t="s">
        <v>442</v>
      </c>
      <c r="P121" s="91" t="s">
        <v>442</v>
      </c>
      <c r="Q121" s="91"/>
      <c r="R121" s="91" t="s">
        <v>442</v>
      </c>
      <c r="S121" s="91" t="s">
        <v>442</v>
      </c>
      <c r="T121" s="91" t="s">
        <v>442</v>
      </c>
      <c r="U121" s="91"/>
      <c r="V121" s="91" t="s">
        <v>442</v>
      </c>
      <c r="W121" s="91"/>
      <c r="X121" s="91"/>
      <c r="Y121" s="91" t="s">
        <v>442</v>
      </c>
      <c r="Z121" s="91"/>
      <c r="AA121" s="91"/>
      <c r="AB121" s="91" t="s">
        <v>442</v>
      </c>
      <c r="AC121" s="91" t="s">
        <v>442</v>
      </c>
      <c r="AD121" s="91" t="s">
        <v>442</v>
      </c>
      <c r="AE121" s="8">
        <f t="shared" si="1"/>
        <v>78.8</v>
      </c>
      <c r="AF121" s="29"/>
    </row>
    <row r="122" spans="1:32" ht="16.5">
      <c r="A122" s="3" t="s">
        <v>163</v>
      </c>
      <c r="B122" s="4">
        <v>40</v>
      </c>
      <c r="C122" s="4">
        <v>54</v>
      </c>
      <c r="D122" s="4">
        <v>39</v>
      </c>
      <c r="E122" s="4">
        <v>44</v>
      </c>
      <c r="F122" s="4">
        <v>40</v>
      </c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 t="s">
        <v>442</v>
      </c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8">
        <f t="shared" si="1"/>
        <v>43.4</v>
      </c>
      <c r="AF122" s="29"/>
    </row>
    <row r="123" spans="1:32" ht="16.5">
      <c r="A123" s="3" t="s">
        <v>398</v>
      </c>
      <c r="B123" s="4">
        <v>66</v>
      </c>
      <c r="C123" s="4">
        <v>71</v>
      </c>
      <c r="D123" s="4">
        <v>40</v>
      </c>
      <c r="E123" s="4">
        <v>48</v>
      </c>
      <c r="F123" s="4">
        <v>60</v>
      </c>
      <c r="G123" s="91"/>
      <c r="H123" s="91"/>
      <c r="I123" s="91"/>
      <c r="J123" s="91"/>
      <c r="K123" s="91"/>
      <c r="L123" s="91"/>
      <c r="M123" s="91"/>
      <c r="N123" s="91"/>
      <c r="O123" s="91"/>
      <c r="P123" s="91" t="s">
        <v>442</v>
      </c>
      <c r="Q123" s="91"/>
      <c r="R123" s="91"/>
      <c r="S123" s="91"/>
      <c r="T123" s="91" t="s">
        <v>442</v>
      </c>
      <c r="U123" s="91"/>
      <c r="V123" s="91"/>
      <c r="W123" s="91"/>
      <c r="X123" s="91"/>
      <c r="Y123" s="91"/>
      <c r="Z123" s="91"/>
      <c r="AA123" s="91"/>
      <c r="AB123" s="91" t="s">
        <v>442</v>
      </c>
      <c r="AC123" s="91" t="s">
        <v>442</v>
      </c>
      <c r="AD123" s="91"/>
      <c r="AE123" s="8">
        <f t="shared" si="1"/>
        <v>57</v>
      </c>
      <c r="AF123" s="29"/>
    </row>
    <row r="124" spans="1:32" ht="16.5">
      <c r="A124" s="3" t="s">
        <v>50</v>
      </c>
      <c r="B124" s="5">
        <v>84</v>
      </c>
      <c r="C124" s="6">
        <v>91</v>
      </c>
      <c r="D124" s="4">
        <v>48</v>
      </c>
      <c r="E124" s="4">
        <v>37</v>
      </c>
      <c r="F124" s="4">
        <v>61</v>
      </c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 t="s">
        <v>442</v>
      </c>
      <c r="R124" s="91" t="s">
        <v>442</v>
      </c>
      <c r="S124" s="91"/>
      <c r="T124" s="91" t="s">
        <v>442</v>
      </c>
      <c r="U124" s="91" t="s">
        <v>442</v>
      </c>
      <c r="V124" s="91"/>
      <c r="W124" s="91"/>
      <c r="X124" s="91"/>
      <c r="Y124" s="91"/>
      <c r="Z124" s="91"/>
      <c r="AA124" s="91"/>
      <c r="AB124" s="91"/>
      <c r="AC124" s="91" t="s">
        <v>442</v>
      </c>
      <c r="AD124" s="91"/>
      <c r="AE124" s="8">
        <f t="shared" si="1"/>
        <v>64.2</v>
      </c>
      <c r="AF124" s="29"/>
    </row>
    <row r="125" spans="1:32" ht="16.5">
      <c r="A125" s="3" t="s">
        <v>199</v>
      </c>
      <c r="B125" s="4">
        <v>30</v>
      </c>
      <c r="C125" s="4">
        <v>34</v>
      </c>
      <c r="D125" s="4">
        <v>63</v>
      </c>
      <c r="E125" s="4">
        <v>73</v>
      </c>
      <c r="F125" s="4">
        <v>66</v>
      </c>
      <c r="G125" s="91"/>
      <c r="H125" s="91" t="s">
        <v>442</v>
      </c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 t="s">
        <v>442</v>
      </c>
      <c r="U125" s="91"/>
      <c r="V125" s="91" t="s">
        <v>442</v>
      </c>
      <c r="W125" s="91"/>
      <c r="X125" s="91"/>
      <c r="Y125" s="91"/>
      <c r="Z125" s="91"/>
      <c r="AA125" s="91"/>
      <c r="AB125" s="91" t="s">
        <v>442</v>
      </c>
      <c r="AC125" s="91"/>
      <c r="AD125" s="91"/>
      <c r="AE125" s="8">
        <f t="shared" si="1"/>
        <v>53.2</v>
      </c>
      <c r="AF125" s="29"/>
    </row>
    <row r="126" spans="1:32" ht="16.5">
      <c r="A126" s="3" t="s">
        <v>264</v>
      </c>
      <c r="B126" s="4">
        <v>57</v>
      </c>
      <c r="C126" s="4">
        <v>61</v>
      </c>
      <c r="D126" s="4">
        <v>36</v>
      </c>
      <c r="E126" s="4">
        <v>30</v>
      </c>
      <c r="F126" s="4">
        <v>49</v>
      </c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 t="s">
        <v>442</v>
      </c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 t="s">
        <v>442</v>
      </c>
      <c r="AD126" s="91"/>
      <c r="AE126" s="8">
        <f t="shared" si="1"/>
        <v>46.6</v>
      </c>
      <c r="AF126" s="29"/>
    </row>
    <row r="127" spans="1:32" ht="16.5">
      <c r="A127" s="3" t="s">
        <v>201</v>
      </c>
      <c r="B127" s="4">
        <v>64</v>
      </c>
      <c r="C127" s="4">
        <v>68</v>
      </c>
      <c r="D127" s="4">
        <v>30</v>
      </c>
      <c r="E127" s="4">
        <v>16</v>
      </c>
      <c r="F127" s="4">
        <v>75</v>
      </c>
      <c r="G127" s="91"/>
      <c r="H127" s="91"/>
      <c r="I127" s="91"/>
      <c r="J127" s="91"/>
      <c r="K127" s="91"/>
      <c r="L127" s="91"/>
      <c r="M127" s="91"/>
      <c r="N127" s="91"/>
      <c r="O127" s="91" t="s">
        <v>442</v>
      </c>
      <c r="P127" s="91"/>
      <c r="Q127" s="91"/>
      <c r="R127" s="91"/>
      <c r="S127" s="91" t="s">
        <v>442</v>
      </c>
      <c r="T127" s="91" t="s">
        <v>442</v>
      </c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8">
        <f t="shared" si="1"/>
        <v>50.6</v>
      </c>
      <c r="AF127" s="29"/>
    </row>
    <row r="128" spans="1:32" ht="16.5">
      <c r="A128" s="3" t="s">
        <v>62</v>
      </c>
      <c r="B128" s="4">
        <v>33</v>
      </c>
      <c r="C128" s="4">
        <v>41</v>
      </c>
      <c r="D128" s="4">
        <v>70</v>
      </c>
      <c r="E128" s="4">
        <v>74</v>
      </c>
      <c r="F128" s="6">
        <v>90</v>
      </c>
      <c r="G128" s="91" t="s">
        <v>442</v>
      </c>
      <c r="H128" s="91" t="s">
        <v>442</v>
      </c>
      <c r="I128" s="91" t="s">
        <v>442</v>
      </c>
      <c r="J128" s="91"/>
      <c r="K128" s="91"/>
      <c r="L128" s="91"/>
      <c r="M128" s="91" t="s">
        <v>442</v>
      </c>
      <c r="N128" s="91"/>
      <c r="O128" s="91" t="s">
        <v>442</v>
      </c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 t="s">
        <v>442</v>
      </c>
      <c r="AC128" s="91"/>
      <c r="AD128" s="91"/>
      <c r="AE128" s="8">
        <f t="shared" si="1"/>
        <v>61.6</v>
      </c>
      <c r="AF128" s="29"/>
    </row>
    <row r="129" spans="1:32" ht="16.5">
      <c r="A129" s="3" t="s">
        <v>34</v>
      </c>
      <c r="B129" s="6">
        <v>95</v>
      </c>
      <c r="C129" s="6">
        <v>92</v>
      </c>
      <c r="D129" s="5">
        <v>83</v>
      </c>
      <c r="E129" s="4">
        <v>68</v>
      </c>
      <c r="F129" s="6">
        <v>91</v>
      </c>
      <c r="G129" s="91"/>
      <c r="H129" s="91"/>
      <c r="I129" s="91" t="s">
        <v>442</v>
      </c>
      <c r="J129" s="91"/>
      <c r="K129" s="91"/>
      <c r="L129" s="91"/>
      <c r="M129" s="91"/>
      <c r="N129" s="91" t="s">
        <v>442</v>
      </c>
      <c r="O129" s="91"/>
      <c r="P129" s="91" t="s">
        <v>442</v>
      </c>
      <c r="Q129" s="91"/>
      <c r="R129" s="91" t="s">
        <v>442</v>
      </c>
      <c r="S129" s="91" t="s">
        <v>442</v>
      </c>
      <c r="T129" s="91"/>
      <c r="U129" s="91"/>
      <c r="V129" s="91" t="s">
        <v>442</v>
      </c>
      <c r="W129" s="91"/>
      <c r="X129" s="91"/>
      <c r="Y129" s="91"/>
      <c r="Z129" s="91" t="s">
        <v>442</v>
      </c>
      <c r="AA129" s="91"/>
      <c r="AB129" s="91" t="s">
        <v>442</v>
      </c>
      <c r="AC129" s="91" t="s">
        <v>442</v>
      </c>
      <c r="AD129" s="91"/>
      <c r="AE129" s="8">
        <f t="shared" si="1"/>
        <v>85.8</v>
      </c>
      <c r="AF129" s="29"/>
    </row>
    <row r="130" spans="1:32" ht="16.5">
      <c r="A130" s="3" t="s">
        <v>299</v>
      </c>
      <c r="B130" s="4">
        <v>57</v>
      </c>
      <c r="C130" s="4">
        <v>45</v>
      </c>
      <c r="D130" s="4">
        <v>57</v>
      </c>
      <c r="E130" s="4">
        <v>66</v>
      </c>
      <c r="F130" s="4">
        <v>51</v>
      </c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 t="s">
        <v>442</v>
      </c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8">
        <f t="shared" si="1"/>
        <v>55.2</v>
      </c>
      <c r="AF130" s="29"/>
    </row>
    <row r="131" spans="1:32" ht="16.5">
      <c r="A131" s="3" t="s">
        <v>273</v>
      </c>
      <c r="B131" s="5">
        <v>89</v>
      </c>
      <c r="C131" s="5">
        <v>82</v>
      </c>
      <c r="D131" s="5">
        <v>87</v>
      </c>
      <c r="E131" s="4">
        <v>73</v>
      </c>
      <c r="F131" s="6">
        <v>97</v>
      </c>
      <c r="G131" s="91"/>
      <c r="H131" s="91"/>
      <c r="I131" s="91" t="s">
        <v>442</v>
      </c>
      <c r="J131" s="91"/>
      <c r="K131" s="91"/>
      <c r="L131" s="91" t="s">
        <v>442</v>
      </c>
      <c r="M131" s="91"/>
      <c r="N131" s="91"/>
      <c r="O131" s="91"/>
      <c r="P131" s="91" t="s">
        <v>442</v>
      </c>
      <c r="Q131" s="91"/>
      <c r="R131" s="91"/>
      <c r="S131" s="91" t="s">
        <v>442</v>
      </c>
      <c r="T131" s="91"/>
      <c r="U131" s="91"/>
      <c r="V131" s="91"/>
      <c r="W131" s="91"/>
      <c r="X131" s="91"/>
      <c r="Y131" s="91" t="s">
        <v>442</v>
      </c>
      <c r="Z131" s="91" t="s">
        <v>442</v>
      </c>
      <c r="AA131" s="91"/>
      <c r="AB131" s="91" t="s">
        <v>442</v>
      </c>
      <c r="AC131" s="91" t="s">
        <v>442</v>
      </c>
      <c r="AD131" s="91"/>
      <c r="AE131" s="8">
        <f t="shared" ref="AE131:AE194" si="2">SUM(B131:F131)/5</f>
        <v>85.6</v>
      </c>
      <c r="AF131" s="29"/>
    </row>
    <row r="132" spans="1:32" ht="16.5">
      <c r="A132" s="3" t="s">
        <v>396</v>
      </c>
      <c r="B132" s="4">
        <v>34</v>
      </c>
      <c r="C132" s="4">
        <v>32</v>
      </c>
      <c r="D132" s="4">
        <v>51</v>
      </c>
      <c r="E132" s="4">
        <v>56</v>
      </c>
      <c r="F132" s="4">
        <v>78</v>
      </c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 t="s">
        <v>442</v>
      </c>
      <c r="T132" s="91"/>
      <c r="U132" s="91"/>
      <c r="V132" s="91"/>
      <c r="W132" s="91"/>
      <c r="X132" s="91"/>
      <c r="Y132" s="91" t="s">
        <v>442</v>
      </c>
      <c r="Z132" s="91"/>
      <c r="AA132" s="91"/>
      <c r="AB132" s="91"/>
      <c r="AC132" s="91"/>
      <c r="AD132" s="91"/>
      <c r="AE132" s="8">
        <f t="shared" si="2"/>
        <v>50.2</v>
      </c>
      <c r="AF132" s="29"/>
    </row>
    <row r="133" spans="1:32" ht="16.5">
      <c r="A133" s="3" t="s">
        <v>300</v>
      </c>
      <c r="B133" s="4">
        <v>44</v>
      </c>
      <c r="C133" s="4">
        <v>55</v>
      </c>
      <c r="D133" s="4">
        <v>54</v>
      </c>
      <c r="E133" s="4">
        <v>61</v>
      </c>
      <c r="F133" s="4">
        <v>54</v>
      </c>
      <c r="G133" s="91"/>
      <c r="H133" s="91" t="s">
        <v>442</v>
      </c>
      <c r="I133" s="91"/>
      <c r="J133" s="91" t="s">
        <v>442</v>
      </c>
      <c r="K133" s="91"/>
      <c r="L133" s="91"/>
      <c r="M133" s="91"/>
      <c r="N133" s="91"/>
      <c r="O133" s="91"/>
      <c r="P133" s="91"/>
      <c r="Q133" s="91"/>
      <c r="R133" s="91"/>
      <c r="S133" s="91" t="s">
        <v>442</v>
      </c>
      <c r="T133" s="91"/>
      <c r="U133" s="91"/>
      <c r="V133" s="91"/>
      <c r="W133" s="91"/>
      <c r="X133" s="91"/>
      <c r="Y133" s="91"/>
      <c r="Z133" s="91"/>
      <c r="AA133" s="91"/>
      <c r="AB133" s="91" t="s">
        <v>442</v>
      </c>
      <c r="AC133" s="91"/>
      <c r="AD133" s="91"/>
      <c r="AE133" s="8">
        <f t="shared" si="2"/>
        <v>53.6</v>
      </c>
      <c r="AF133" s="29"/>
    </row>
    <row r="134" spans="1:32" ht="16.5">
      <c r="A134" s="3" t="s">
        <v>244</v>
      </c>
      <c r="B134" s="4">
        <v>66</v>
      </c>
      <c r="C134" s="4">
        <v>72</v>
      </c>
      <c r="D134" s="4">
        <v>69</v>
      </c>
      <c r="E134" s="4">
        <v>62</v>
      </c>
      <c r="F134" s="4">
        <v>59</v>
      </c>
      <c r="G134" s="91"/>
      <c r="H134" s="91"/>
      <c r="I134" s="91"/>
      <c r="J134" s="91"/>
      <c r="K134" s="91"/>
      <c r="L134" s="91"/>
      <c r="M134" s="91"/>
      <c r="N134" s="91" t="s">
        <v>442</v>
      </c>
      <c r="O134" s="91"/>
      <c r="P134" s="91" t="s">
        <v>442</v>
      </c>
      <c r="Q134" s="91"/>
      <c r="R134" s="91"/>
      <c r="S134" s="91"/>
      <c r="T134" s="91" t="s">
        <v>442</v>
      </c>
      <c r="U134" s="91" t="s">
        <v>442</v>
      </c>
      <c r="V134" s="91"/>
      <c r="W134" s="91"/>
      <c r="X134" s="91"/>
      <c r="Y134" s="91"/>
      <c r="Z134" s="91"/>
      <c r="AA134" s="91"/>
      <c r="AB134" s="91"/>
      <c r="AC134" s="91"/>
      <c r="AD134" s="91"/>
      <c r="AE134" s="8">
        <f t="shared" si="2"/>
        <v>65.599999999999994</v>
      </c>
      <c r="AF134" s="29"/>
    </row>
    <row r="135" spans="1:32" ht="16.5">
      <c r="A135" s="3" t="s">
        <v>296</v>
      </c>
      <c r="B135" s="4">
        <v>72</v>
      </c>
      <c r="C135" s="4">
        <v>72</v>
      </c>
      <c r="D135" s="4">
        <v>33</v>
      </c>
      <c r="E135" s="4">
        <v>22</v>
      </c>
      <c r="F135" s="4">
        <v>70</v>
      </c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 t="s">
        <v>442</v>
      </c>
      <c r="T135" s="91"/>
      <c r="U135" s="91"/>
      <c r="V135" s="91"/>
      <c r="W135" s="91"/>
      <c r="X135" s="91"/>
      <c r="Y135" s="91" t="s">
        <v>442</v>
      </c>
      <c r="Z135" s="91"/>
      <c r="AA135" s="91"/>
      <c r="AB135" s="91"/>
      <c r="AC135" s="91"/>
      <c r="AD135" s="91"/>
      <c r="AE135" s="8">
        <f t="shared" si="2"/>
        <v>53.8</v>
      </c>
      <c r="AF135" s="29"/>
    </row>
    <row r="136" spans="1:32" ht="16.5">
      <c r="A136" s="3" t="s">
        <v>236</v>
      </c>
      <c r="B136" s="4">
        <v>72</v>
      </c>
      <c r="C136" s="4">
        <v>65</v>
      </c>
      <c r="D136" s="4">
        <v>54</v>
      </c>
      <c r="E136" s="4">
        <v>55</v>
      </c>
      <c r="F136" s="4">
        <v>72</v>
      </c>
      <c r="G136" s="91"/>
      <c r="H136" s="91" t="s">
        <v>442</v>
      </c>
      <c r="I136" s="91"/>
      <c r="J136" s="91"/>
      <c r="K136" s="91"/>
      <c r="L136" s="91"/>
      <c r="M136" s="91" t="s">
        <v>442</v>
      </c>
      <c r="N136" s="91"/>
      <c r="O136" s="91"/>
      <c r="P136" s="91" t="s">
        <v>442</v>
      </c>
      <c r="Q136" s="91"/>
      <c r="R136" s="91"/>
      <c r="S136" s="91" t="s">
        <v>442</v>
      </c>
      <c r="T136" s="91" t="s">
        <v>442</v>
      </c>
      <c r="U136" s="91"/>
      <c r="V136" s="91"/>
      <c r="W136" s="91"/>
      <c r="X136" s="91"/>
      <c r="Y136" s="91" t="s">
        <v>442</v>
      </c>
      <c r="Z136" s="91" t="s">
        <v>442</v>
      </c>
      <c r="AA136" s="91"/>
      <c r="AB136" s="91" t="s">
        <v>442</v>
      </c>
      <c r="AC136" s="91" t="s">
        <v>442</v>
      </c>
      <c r="AD136" s="91"/>
      <c r="AE136" s="8">
        <f t="shared" si="2"/>
        <v>63.6</v>
      </c>
      <c r="AF136" s="29"/>
    </row>
    <row r="137" spans="1:32" ht="16.5">
      <c r="A137" s="3" t="s">
        <v>139</v>
      </c>
      <c r="B137" s="4">
        <v>62</v>
      </c>
      <c r="C137" s="4">
        <v>61</v>
      </c>
      <c r="D137" s="4">
        <v>62</v>
      </c>
      <c r="E137" s="4">
        <v>59</v>
      </c>
      <c r="F137" s="4">
        <v>63</v>
      </c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 t="s">
        <v>442</v>
      </c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8">
        <f t="shared" si="2"/>
        <v>61.4</v>
      </c>
      <c r="AF137" s="29"/>
    </row>
    <row r="138" spans="1:32" ht="16.5">
      <c r="A138" s="3" t="s">
        <v>169</v>
      </c>
      <c r="B138" s="6">
        <v>95</v>
      </c>
      <c r="C138" s="6">
        <v>93</v>
      </c>
      <c r="D138" s="5">
        <v>85</v>
      </c>
      <c r="E138" s="4">
        <v>69</v>
      </c>
      <c r="F138" s="6">
        <v>92</v>
      </c>
      <c r="G138" s="91"/>
      <c r="H138" s="91"/>
      <c r="I138" s="91" t="s">
        <v>442</v>
      </c>
      <c r="J138" s="91"/>
      <c r="K138" s="91"/>
      <c r="L138" s="91"/>
      <c r="M138" s="91"/>
      <c r="N138" s="91" t="s">
        <v>442</v>
      </c>
      <c r="O138" s="91" t="s">
        <v>442</v>
      </c>
      <c r="P138" s="91" t="s">
        <v>442</v>
      </c>
      <c r="Q138" s="91"/>
      <c r="R138" s="91" t="s">
        <v>442</v>
      </c>
      <c r="S138" s="91" t="s">
        <v>442</v>
      </c>
      <c r="T138" s="91" t="s">
        <v>442</v>
      </c>
      <c r="U138" s="91" t="s">
        <v>442</v>
      </c>
      <c r="V138" s="91" t="s">
        <v>442</v>
      </c>
      <c r="W138" s="91"/>
      <c r="X138" s="91"/>
      <c r="Y138" s="91"/>
      <c r="Z138" s="91"/>
      <c r="AA138" s="91"/>
      <c r="AB138" s="91"/>
      <c r="AC138" s="91" t="s">
        <v>442</v>
      </c>
      <c r="AD138" s="91"/>
      <c r="AE138" s="8">
        <f t="shared" si="2"/>
        <v>86.8</v>
      </c>
      <c r="AF138" s="29"/>
    </row>
    <row r="139" spans="1:32" ht="16.5">
      <c r="A139" s="3" t="s">
        <v>289</v>
      </c>
      <c r="B139" s="4">
        <v>75</v>
      </c>
      <c r="C139" s="4">
        <v>71</v>
      </c>
      <c r="D139" s="4">
        <v>60</v>
      </c>
      <c r="E139" s="4">
        <v>52</v>
      </c>
      <c r="F139" s="4">
        <v>73</v>
      </c>
      <c r="G139" s="91"/>
      <c r="H139" s="91"/>
      <c r="I139" s="91"/>
      <c r="J139" s="91"/>
      <c r="K139" s="91" t="s">
        <v>442</v>
      </c>
      <c r="L139" s="91"/>
      <c r="M139" s="91"/>
      <c r="N139" s="91"/>
      <c r="O139" s="91"/>
      <c r="P139" s="91"/>
      <c r="Q139" s="91"/>
      <c r="R139" s="91" t="s">
        <v>442</v>
      </c>
      <c r="S139" s="91" t="s">
        <v>442</v>
      </c>
      <c r="T139" s="91"/>
      <c r="U139" s="91"/>
      <c r="V139" s="91" t="s">
        <v>442</v>
      </c>
      <c r="W139" s="91"/>
      <c r="X139" s="91"/>
      <c r="Y139" s="91"/>
      <c r="Z139" s="91" t="s">
        <v>442</v>
      </c>
      <c r="AA139" s="91"/>
      <c r="AB139" s="91"/>
      <c r="AC139" s="91"/>
      <c r="AD139" s="91" t="s">
        <v>442</v>
      </c>
      <c r="AE139" s="8">
        <f t="shared" si="2"/>
        <v>66.2</v>
      </c>
      <c r="AF139" s="29"/>
    </row>
    <row r="140" spans="1:32" ht="16.5">
      <c r="A140" s="3" t="s">
        <v>215</v>
      </c>
      <c r="B140" s="4">
        <v>50</v>
      </c>
      <c r="C140" s="4">
        <v>58</v>
      </c>
      <c r="D140" s="4">
        <v>47</v>
      </c>
      <c r="E140" s="4">
        <v>48</v>
      </c>
      <c r="F140" s="4">
        <v>38</v>
      </c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 t="s">
        <v>442</v>
      </c>
      <c r="S140" s="91"/>
      <c r="T140" s="91" t="s">
        <v>442</v>
      </c>
      <c r="U140" s="91" t="s">
        <v>442</v>
      </c>
      <c r="V140" s="91"/>
      <c r="W140" s="91"/>
      <c r="X140" s="91"/>
      <c r="Y140" s="91"/>
      <c r="Z140" s="91"/>
      <c r="AA140" s="91"/>
      <c r="AB140" s="91"/>
      <c r="AC140" s="91"/>
      <c r="AD140" s="91"/>
      <c r="AE140" s="8">
        <f t="shared" si="2"/>
        <v>48.2</v>
      </c>
      <c r="AF140" s="29"/>
    </row>
    <row r="141" spans="1:32" ht="16.5">
      <c r="A141" s="3" t="s">
        <v>105</v>
      </c>
      <c r="B141" s="4">
        <v>65</v>
      </c>
      <c r="C141" s="4">
        <v>75</v>
      </c>
      <c r="D141" s="4">
        <v>61</v>
      </c>
      <c r="E141" s="4">
        <v>48</v>
      </c>
      <c r="F141" s="4">
        <v>57</v>
      </c>
      <c r="G141" s="91"/>
      <c r="H141" s="91"/>
      <c r="I141" s="91"/>
      <c r="J141" s="91"/>
      <c r="K141" s="91"/>
      <c r="L141" s="91"/>
      <c r="M141" s="91"/>
      <c r="N141" s="91"/>
      <c r="O141" s="91"/>
      <c r="P141" s="91" t="s">
        <v>442</v>
      </c>
      <c r="Q141" s="91"/>
      <c r="R141" s="91"/>
      <c r="S141" s="91"/>
      <c r="T141" s="91" t="s">
        <v>442</v>
      </c>
      <c r="U141" s="91"/>
      <c r="V141" s="91"/>
      <c r="W141" s="91"/>
      <c r="X141" s="91"/>
      <c r="Y141" s="91"/>
      <c r="Z141" s="91"/>
      <c r="AA141" s="91"/>
      <c r="AB141" s="91"/>
      <c r="AC141" s="91" t="s">
        <v>442</v>
      </c>
      <c r="AD141" s="91"/>
      <c r="AE141" s="8">
        <f t="shared" si="2"/>
        <v>61.2</v>
      </c>
      <c r="AF141" s="29"/>
    </row>
    <row r="142" spans="1:32" ht="16.5">
      <c r="A142" s="3" t="s">
        <v>36</v>
      </c>
      <c r="B142" s="4">
        <v>64</v>
      </c>
      <c r="C142" s="4">
        <v>35</v>
      </c>
      <c r="D142" s="6">
        <v>97</v>
      </c>
      <c r="E142" s="6">
        <v>90</v>
      </c>
      <c r="F142" s="5">
        <v>84</v>
      </c>
      <c r="G142" s="91" t="s">
        <v>442</v>
      </c>
      <c r="H142" s="91" t="s">
        <v>442</v>
      </c>
      <c r="I142" s="91" t="s">
        <v>442</v>
      </c>
      <c r="J142" s="91"/>
      <c r="K142" s="91" t="s">
        <v>442</v>
      </c>
      <c r="L142" s="91" t="s">
        <v>442</v>
      </c>
      <c r="M142" s="91" t="s">
        <v>442</v>
      </c>
      <c r="N142" s="91"/>
      <c r="O142" s="91"/>
      <c r="P142" s="91"/>
      <c r="Q142" s="91"/>
      <c r="R142" s="91"/>
      <c r="S142" s="91"/>
      <c r="T142" s="91" t="s">
        <v>442</v>
      </c>
      <c r="U142" s="91" t="s">
        <v>442</v>
      </c>
      <c r="V142" s="91"/>
      <c r="W142" s="91"/>
      <c r="X142" s="91"/>
      <c r="Y142" s="91" t="s">
        <v>442</v>
      </c>
      <c r="Z142" s="91"/>
      <c r="AA142" s="91"/>
      <c r="AB142" s="91" t="s">
        <v>442</v>
      </c>
      <c r="AC142" s="91"/>
      <c r="AD142" s="91" t="s">
        <v>442</v>
      </c>
      <c r="AE142" s="8">
        <f t="shared" si="2"/>
        <v>74</v>
      </c>
      <c r="AF142" s="29"/>
    </row>
    <row r="143" spans="1:32" ht="16.5">
      <c r="A143" s="3" t="s">
        <v>39</v>
      </c>
      <c r="B143" s="4">
        <v>60</v>
      </c>
      <c r="C143" s="4">
        <v>38</v>
      </c>
      <c r="D143" s="6">
        <v>94</v>
      </c>
      <c r="E143" s="6">
        <v>91</v>
      </c>
      <c r="F143" s="5">
        <v>80</v>
      </c>
      <c r="G143" s="91" t="s">
        <v>442</v>
      </c>
      <c r="H143" s="91" t="s">
        <v>442</v>
      </c>
      <c r="I143" s="91" t="s">
        <v>442</v>
      </c>
      <c r="J143" s="91"/>
      <c r="K143" s="91"/>
      <c r="L143" s="91" t="s">
        <v>442</v>
      </c>
      <c r="M143" s="91" t="s">
        <v>442</v>
      </c>
      <c r="N143" s="91" t="s">
        <v>442</v>
      </c>
      <c r="O143" s="91"/>
      <c r="P143" s="91"/>
      <c r="Q143" s="91"/>
      <c r="R143" s="91"/>
      <c r="S143" s="91"/>
      <c r="T143" s="91" t="s">
        <v>442</v>
      </c>
      <c r="U143" s="91"/>
      <c r="V143" s="91" t="s">
        <v>442</v>
      </c>
      <c r="W143" s="91"/>
      <c r="X143" s="91"/>
      <c r="Y143" s="91" t="s">
        <v>442</v>
      </c>
      <c r="Z143" s="91"/>
      <c r="AA143" s="91"/>
      <c r="AB143" s="91"/>
      <c r="AC143" s="91"/>
      <c r="AD143" s="91" t="s">
        <v>442</v>
      </c>
      <c r="AE143" s="8">
        <f t="shared" si="2"/>
        <v>72.599999999999994</v>
      </c>
      <c r="AF143" s="29"/>
    </row>
    <row r="144" spans="1:32" ht="16.5">
      <c r="A144" s="3" t="s">
        <v>71</v>
      </c>
      <c r="B144" s="4">
        <v>40</v>
      </c>
      <c r="C144" s="4">
        <v>51</v>
      </c>
      <c r="D144" s="4">
        <v>73</v>
      </c>
      <c r="E144" s="5">
        <v>80</v>
      </c>
      <c r="F144" s="5">
        <v>82</v>
      </c>
      <c r="G144" s="91" t="s">
        <v>442</v>
      </c>
      <c r="H144" s="91" t="s">
        <v>442</v>
      </c>
      <c r="I144" s="91" t="s">
        <v>442</v>
      </c>
      <c r="J144" s="91"/>
      <c r="K144" s="91"/>
      <c r="L144" s="91" t="s">
        <v>442</v>
      </c>
      <c r="M144" s="91"/>
      <c r="N144" s="91"/>
      <c r="O144" s="91" t="s">
        <v>442</v>
      </c>
      <c r="P144" s="91"/>
      <c r="Q144" s="91"/>
      <c r="R144" s="91"/>
      <c r="S144" s="91"/>
      <c r="T144" s="91"/>
      <c r="U144" s="91"/>
      <c r="V144" s="91"/>
      <c r="W144" s="91"/>
      <c r="X144" s="91"/>
      <c r="Y144" s="91" t="s">
        <v>442</v>
      </c>
      <c r="Z144" s="91"/>
      <c r="AA144" s="91"/>
      <c r="AB144" s="91"/>
      <c r="AC144" s="91"/>
      <c r="AD144" s="91" t="s">
        <v>442</v>
      </c>
      <c r="AE144" s="8">
        <f t="shared" si="2"/>
        <v>65.2</v>
      </c>
      <c r="AF144" s="29"/>
    </row>
    <row r="145" spans="1:32" ht="16.5">
      <c r="A145" s="3" t="s">
        <v>330</v>
      </c>
      <c r="B145" s="4">
        <v>60</v>
      </c>
      <c r="C145" s="4">
        <v>72</v>
      </c>
      <c r="D145" s="4">
        <v>55</v>
      </c>
      <c r="E145" s="4">
        <v>48</v>
      </c>
      <c r="F145" s="4">
        <v>60</v>
      </c>
      <c r="G145" s="91" t="s">
        <v>442</v>
      </c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 t="s">
        <v>442</v>
      </c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8">
        <f t="shared" si="2"/>
        <v>59</v>
      </c>
      <c r="AF145" s="29"/>
    </row>
    <row r="146" spans="1:32" ht="16.5">
      <c r="A146" s="3" t="s">
        <v>111</v>
      </c>
      <c r="B146" s="4">
        <v>63</v>
      </c>
      <c r="C146" s="4">
        <v>70</v>
      </c>
      <c r="D146" s="4">
        <v>67</v>
      </c>
      <c r="E146" s="4">
        <v>54</v>
      </c>
      <c r="F146" s="4">
        <v>65</v>
      </c>
      <c r="G146" s="91"/>
      <c r="H146" s="91" t="s">
        <v>442</v>
      </c>
      <c r="I146" s="91" t="s">
        <v>442</v>
      </c>
      <c r="J146" s="91" t="s">
        <v>442</v>
      </c>
      <c r="K146" s="91"/>
      <c r="L146" s="91"/>
      <c r="M146" s="91"/>
      <c r="N146" s="91"/>
      <c r="O146" s="91" t="s">
        <v>442</v>
      </c>
      <c r="P146" s="91"/>
      <c r="Q146" s="91"/>
      <c r="R146" s="91"/>
      <c r="S146" s="91"/>
      <c r="T146" s="91"/>
      <c r="U146" s="91"/>
      <c r="V146" s="91"/>
      <c r="W146" s="91"/>
      <c r="X146" s="91"/>
      <c r="Y146" s="91" t="s">
        <v>442</v>
      </c>
      <c r="Z146" s="91"/>
      <c r="AA146" s="91"/>
      <c r="AB146" s="91"/>
      <c r="AC146" s="91"/>
      <c r="AD146" s="91"/>
      <c r="AE146" s="8">
        <f t="shared" si="2"/>
        <v>63.8</v>
      </c>
      <c r="AF146" s="29"/>
    </row>
    <row r="147" spans="1:32" ht="16.5">
      <c r="A147" s="3" t="s">
        <v>57</v>
      </c>
      <c r="B147" s="4">
        <v>74</v>
      </c>
      <c r="C147" s="4">
        <v>70</v>
      </c>
      <c r="D147" s="4">
        <v>69</v>
      </c>
      <c r="E147" s="5">
        <v>84</v>
      </c>
      <c r="F147" s="4">
        <v>76</v>
      </c>
      <c r="G147" s="91"/>
      <c r="H147" s="91" t="s">
        <v>442</v>
      </c>
      <c r="I147" s="91" t="s">
        <v>442</v>
      </c>
      <c r="J147" s="91"/>
      <c r="K147" s="91"/>
      <c r="L147" s="91"/>
      <c r="M147" s="91" t="s">
        <v>442</v>
      </c>
      <c r="N147" s="91"/>
      <c r="O147" s="91"/>
      <c r="P147" s="91" t="s">
        <v>442</v>
      </c>
      <c r="Q147" s="91"/>
      <c r="R147" s="91"/>
      <c r="S147" s="91"/>
      <c r="T147" s="91"/>
      <c r="U147" s="91" t="s">
        <v>442</v>
      </c>
      <c r="V147" s="91"/>
      <c r="W147" s="91"/>
      <c r="X147" s="91"/>
      <c r="Y147" s="91" t="s">
        <v>442</v>
      </c>
      <c r="Z147" s="91"/>
      <c r="AA147" s="91"/>
      <c r="AB147" s="91"/>
      <c r="AC147" s="91" t="s">
        <v>442</v>
      </c>
      <c r="AD147" s="91"/>
      <c r="AE147" s="8">
        <f t="shared" si="2"/>
        <v>74.599999999999994</v>
      </c>
      <c r="AF147" s="29"/>
    </row>
    <row r="148" spans="1:32" ht="16.5">
      <c r="A148" s="3" t="s">
        <v>366</v>
      </c>
      <c r="B148" s="4">
        <v>59</v>
      </c>
      <c r="C148" s="4">
        <v>78</v>
      </c>
      <c r="D148" s="4">
        <v>36</v>
      </c>
      <c r="E148" s="4">
        <v>43</v>
      </c>
      <c r="F148" s="4">
        <v>20</v>
      </c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 t="s">
        <v>442</v>
      </c>
      <c r="R148" s="91"/>
      <c r="S148" s="91"/>
      <c r="T148" s="91" t="s">
        <v>442</v>
      </c>
      <c r="U148" s="91"/>
      <c r="V148" s="91"/>
      <c r="W148" s="91"/>
      <c r="X148" s="91"/>
      <c r="Y148" s="91"/>
      <c r="Z148" s="91"/>
      <c r="AA148" s="91"/>
      <c r="AB148" s="91"/>
      <c r="AC148" s="91" t="s">
        <v>442</v>
      </c>
      <c r="AD148" s="91"/>
      <c r="AE148" s="8">
        <f t="shared" si="2"/>
        <v>47.2</v>
      </c>
      <c r="AF148" s="29"/>
    </row>
    <row r="149" spans="1:32" ht="16.5">
      <c r="A149" s="3" t="s">
        <v>367</v>
      </c>
      <c r="B149" s="4">
        <v>60</v>
      </c>
      <c r="C149" s="4">
        <v>79</v>
      </c>
      <c r="D149" s="4">
        <v>26</v>
      </c>
      <c r="E149" s="4">
        <v>33</v>
      </c>
      <c r="F149" s="4">
        <v>19</v>
      </c>
      <c r="G149" s="91"/>
      <c r="H149" s="91"/>
      <c r="I149" s="91"/>
      <c r="J149" s="91"/>
      <c r="K149" s="91"/>
      <c r="L149" s="91"/>
      <c r="M149" s="91"/>
      <c r="N149" s="91"/>
      <c r="O149" s="91"/>
      <c r="P149" s="91" t="s">
        <v>442</v>
      </c>
      <c r="Q149" s="91"/>
      <c r="R149" s="91"/>
      <c r="S149" s="91"/>
      <c r="T149" s="91" t="s">
        <v>442</v>
      </c>
      <c r="U149" s="91"/>
      <c r="V149" s="91"/>
      <c r="W149" s="91"/>
      <c r="X149" s="91"/>
      <c r="Y149" s="91"/>
      <c r="Z149" s="91"/>
      <c r="AA149" s="91"/>
      <c r="AB149" s="91"/>
      <c r="AC149" s="91" t="s">
        <v>442</v>
      </c>
      <c r="AD149" s="91"/>
      <c r="AE149" s="8">
        <f t="shared" si="2"/>
        <v>43.4</v>
      </c>
      <c r="AF149" s="29"/>
    </row>
    <row r="150" spans="1:32" ht="16.5">
      <c r="A150" s="3" t="s">
        <v>91</v>
      </c>
      <c r="B150" s="4">
        <v>68</v>
      </c>
      <c r="C150" s="4">
        <v>79</v>
      </c>
      <c r="D150" s="4">
        <v>44</v>
      </c>
      <c r="E150" s="4">
        <v>32</v>
      </c>
      <c r="F150" s="4">
        <v>75</v>
      </c>
      <c r="G150" s="91"/>
      <c r="H150" s="91"/>
      <c r="I150" s="91"/>
      <c r="J150" s="91"/>
      <c r="K150" s="91"/>
      <c r="L150" s="91"/>
      <c r="M150" s="91"/>
      <c r="N150" s="91"/>
      <c r="O150" s="91" t="s">
        <v>442</v>
      </c>
      <c r="P150" s="91"/>
      <c r="Q150" s="91"/>
      <c r="R150" s="91" t="s">
        <v>442</v>
      </c>
      <c r="S150" s="91" t="s">
        <v>442</v>
      </c>
      <c r="T150" s="91"/>
      <c r="U150" s="91" t="s">
        <v>442</v>
      </c>
      <c r="V150" s="91" t="s">
        <v>442</v>
      </c>
      <c r="W150" s="91"/>
      <c r="X150" s="91"/>
      <c r="Y150" s="91"/>
      <c r="Z150" s="91"/>
      <c r="AA150" s="91"/>
      <c r="AB150" s="91"/>
      <c r="AC150" s="91"/>
      <c r="AD150" s="91"/>
      <c r="AE150" s="8">
        <f t="shared" si="2"/>
        <v>59.6</v>
      </c>
      <c r="AF150" s="29"/>
    </row>
    <row r="151" spans="1:32" ht="16.5">
      <c r="A151" s="3" t="s">
        <v>382</v>
      </c>
      <c r="B151" s="4">
        <v>57</v>
      </c>
      <c r="C151" s="4">
        <v>62</v>
      </c>
      <c r="D151" s="4">
        <v>44</v>
      </c>
      <c r="E151" s="4">
        <v>26</v>
      </c>
      <c r="F151" s="4">
        <v>30</v>
      </c>
      <c r="G151" s="91"/>
      <c r="H151" s="91"/>
      <c r="I151" s="91"/>
      <c r="J151" s="91"/>
      <c r="K151" s="91"/>
      <c r="L151" s="91"/>
      <c r="M151" s="91"/>
      <c r="N151" s="91" t="s">
        <v>442</v>
      </c>
      <c r="O151" s="91"/>
      <c r="P151" s="91"/>
      <c r="Q151" s="91"/>
      <c r="R151" s="91" t="s">
        <v>442</v>
      </c>
      <c r="S151" s="91"/>
      <c r="T151" s="91" t="s">
        <v>442</v>
      </c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8">
        <f t="shared" si="2"/>
        <v>43.8</v>
      </c>
      <c r="AF151" s="29"/>
    </row>
    <row r="152" spans="1:32" ht="16.5">
      <c r="A152" s="3" t="s">
        <v>59</v>
      </c>
      <c r="B152" s="5">
        <v>86</v>
      </c>
      <c r="C152" s="6">
        <v>93</v>
      </c>
      <c r="D152" s="4">
        <v>34</v>
      </c>
      <c r="E152" s="4">
        <v>23</v>
      </c>
      <c r="F152" s="4">
        <v>55</v>
      </c>
      <c r="G152" s="91"/>
      <c r="H152" s="91"/>
      <c r="I152" s="91"/>
      <c r="J152" s="91"/>
      <c r="K152" s="91"/>
      <c r="L152" s="91"/>
      <c r="M152" s="91"/>
      <c r="N152" s="91" t="s">
        <v>442</v>
      </c>
      <c r="O152" s="91"/>
      <c r="P152" s="91" t="s">
        <v>442</v>
      </c>
      <c r="Q152" s="91" t="s">
        <v>442</v>
      </c>
      <c r="R152" s="91"/>
      <c r="S152" s="91"/>
      <c r="T152" s="91"/>
      <c r="U152" s="91"/>
      <c r="V152" s="91" t="s">
        <v>442</v>
      </c>
      <c r="W152" s="91"/>
      <c r="X152" s="91"/>
      <c r="Y152" s="91" t="s">
        <v>442</v>
      </c>
      <c r="Z152" s="91"/>
      <c r="AA152" s="91"/>
      <c r="AB152" s="91"/>
      <c r="AC152" s="91"/>
      <c r="AD152" s="91"/>
      <c r="AE152" s="8">
        <f t="shared" si="2"/>
        <v>58.2</v>
      </c>
      <c r="AF152" s="29"/>
    </row>
    <row r="153" spans="1:32" ht="16.5">
      <c r="A153" s="3" t="s">
        <v>379</v>
      </c>
      <c r="B153" s="4">
        <v>62</v>
      </c>
      <c r="C153" s="4">
        <v>67</v>
      </c>
      <c r="D153" s="4">
        <v>23</v>
      </c>
      <c r="E153" s="4">
        <v>21</v>
      </c>
      <c r="F153" s="4">
        <v>27</v>
      </c>
      <c r="G153" s="91"/>
      <c r="H153" s="91" t="s">
        <v>442</v>
      </c>
      <c r="I153" s="91"/>
      <c r="J153" s="91"/>
      <c r="K153" s="91"/>
      <c r="L153" s="91"/>
      <c r="M153" s="91"/>
      <c r="N153" s="91"/>
      <c r="O153" s="91"/>
      <c r="P153" s="91" t="s">
        <v>442</v>
      </c>
      <c r="Q153" s="91"/>
      <c r="R153" s="91"/>
      <c r="S153" s="91"/>
      <c r="T153" s="91" t="s">
        <v>442</v>
      </c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8">
        <f t="shared" si="2"/>
        <v>40</v>
      </c>
      <c r="AF153" s="29" t="s">
        <v>380</v>
      </c>
    </row>
    <row r="154" spans="1:32" ht="16.5">
      <c r="A154" s="3" t="s">
        <v>216</v>
      </c>
      <c r="B154" s="4">
        <v>32</v>
      </c>
      <c r="C154" s="4">
        <v>45</v>
      </c>
      <c r="D154" s="4">
        <v>57</v>
      </c>
      <c r="E154" s="4">
        <v>39</v>
      </c>
      <c r="F154" s="4">
        <v>37</v>
      </c>
      <c r="G154" s="91"/>
      <c r="H154" s="91" t="s">
        <v>442</v>
      </c>
      <c r="I154" s="91"/>
      <c r="J154" s="91" t="s">
        <v>442</v>
      </c>
      <c r="K154" s="91"/>
      <c r="L154" s="91"/>
      <c r="M154" s="91" t="s">
        <v>442</v>
      </c>
      <c r="N154" s="91"/>
      <c r="O154" s="91"/>
      <c r="P154" s="91"/>
      <c r="Q154" s="91"/>
      <c r="R154" s="91"/>
      <c r="S154" s="91"/>
      <c r="T154" s="91" t="s">
        <v>442</v>
      </c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8">
        <f t="shared" si="2"/>
        <v>42</v>
      </c>
      <c r="AF154" s="29"/>
    </row>
    <row r="155" spans="1:32" ht="16.5">
      <c r="A155" s="3" t="s">
        <v>231</v>
      </c>
      <c r="B155" s="4">
        <v>32</v>
      </c>
      <c r="C155" s="4">
        <v>26</v>
      </c>
      <c r="D155" s="6">
        <v>93</v>
      </c>
      <c r="E155" s="5">
        <v>83</v>
      </c>
      <c r="F155" s="4">
        <v>50</v>
      </c>
      <c r="G155" s="91"/>
      <c r="H155" s="91" t="s">
        <v>442</v>
      </c>
      <c r="I155" s="91" t="s">
        <v>442</v>
      </c>
      <c r="J155" s="91" t="s">
        <v>442</v>
      </c>
      <c r="K155" s="91"/>
      <c r="L155" s="91"/>
      <c r="M155" s="91" t="s">
        <v>442</v>
      </c>
      <c r="N155" s="91"/>
      <c r="O155" s="91" t="s">
        <v>442</v>
      </c>
      <c r="P155" s="91"/>
      <c r="Q155" s="91"/>
      <c r="R155" s="91"/>
      <c r="S155" s="91"/>
      <c r="T155" s="91" t="s">
        <v>442</v>
      </c>
      <c r="U155" s="91"/>
      <c r="V155" s="91" t="s">
        <v>442</v>
      </c>
      <c r="W155" s="91"/>
      <c r="X155" s="91"/>
      <c r="Y155" s="91"/>
      <c r="Z155" s="91"/>
      <c r="AA155" s="91"/>
      <c r="AB155" s="91" t="s">
        <v>442</v>
      </c>
      <c r="AC155" s="91"/>
      <c r="AD155" s="91"/>
      <c r="AE155" s="8">
        <f t="shared" si="2"/>
        <v>56.8</v>
      </c>
      <c r="AF155" s="29"/>
    </row>
    <row r="156" spans="1:32" ht="16.5">
      <c r="A156" s="3" t="s">
        <v>323</v>
      </c>
      <c r="B156" s="4">
        <v>72</v>
      </c>
      <c r="C156" s="4">
        <v>61</v>
      </c>
      <c r="D156" s="4">
        <v>70</v>
      </c>
      <c r="E156" s="4">
        <v>72</v>
      </c>
      <c r="F156" s="4">
        <v>56</v>
      </c>
      <c r="G156" s="91"/>
      <c r="H156" s="91" t="s">
        <v>442</v>
      </c>
      <c r="I156" s="91"/>
      <c r="J156" s="91"/>
      <c r="K156" s="91" t="s">
        <v>442</v>
      </c>
      <c r="L156" s="91" t="s">
        <v>442</v>
      </c>
      <c r="M156" s="91"/>
      <c r="N156" s="91" t="s">
        <v>442</v>
      </c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 t="s">
        <v>442</v>
      </c>
      <c r="Z156" s="91"/>
      <c r="AA156" s="91"/>
      <c r="AB156" s="91" t="s">
        <v>442</v>
      </c>
      <c r="AC156" s="91"/>
      <c r="AD156" s="91" t="s">
        <v>442</v>
      </c>
      <c r="AE156" s="8">
        <f t="shared" si="2"/>
        <v>66.2</v>
      </c>
      <c r="AF156" s="29"/>
    </row>
    <row r="157" spans="1:32" ht="16.5">
      <c r="A157" s="3" t="s">
        <v>332</v>
      </c>
      <c r="B157" s="4">
        <v>72</v>
      </c>
      <c r="C157" s="4">
        <v>63</v>
      </c>
      <c r="D157" s="4">
        <v>45</v>
      </c>
      <c r="E157" s="4">
        <v>39</v>
      </c>
      <c r="F157" s="4">
        <v>40</v>
      </c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 t="s">
        <v>442</v>
      </c>
      <c r="U157" s="91"/>
      <c r="V157" s="91" t="s">
        <v>442</v>
      </c>
      <c r="W157" s="91"/>
      <c r="X157" s="91"/>
      <c r="Y157" s="91"/>
      <c r="Z157" s="91"/>
      <c r="AA157" s="91"/>
      <c r="AB157" s="91"/>
      <c r="AC157" s="91"/>
      <c r="AD157" s="91"/>
      <c r="AE157" s="8">
        <f t="shared" si="2"/>
        <v>51.8</v>
      </c>
      <c r="AF157" s="29"/>
    </row>
    <row r="158" spans="1:32" ht="16.5">
      <c r="A158" s="3" t="s">
        <v>214</v>
      </c>
      <c r="B158" s="4">
        <v>58</v>
      </c>
      <c r="C158" s="4">
        <v>66</v>
      </c>
      <c r="D158" s="4">
        <v>17</v>
      </c>
      <c r="E158" s="4">
        <v>12</v>
      </c>
      <c r="F158" s="4">
        <v>34</v>
      </c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 t="s">
        <v>442</v>
      </c>
      <c r="R158" s="91"/>
      <c r="S158" s="91"/>
      <c r="T158" s="91" t="s">
        <v>442</v>
      </c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8">
        <f t="shared" si="2"/>
        <v>37.4</v>
      </c>
      <c r="AF158" s="29"/>
    </row>
    <row r="159" spans="1:32" ht="16.5">
      <c r="A159" s="3" t="s">
        <v>118</v>
      </c>
      <c r="B159" s="4">
        <v>41</v>
      </c>
      <c r="C159" s="4">
        <v>57</v>
      </c>
      <c r="D159" s="4">
        <v>62</v>
      </c>
      <c r="E159" s="4">
        <v>71</v>
      </c>
      <c r="F159" s="4">
        <v>72</v>
      </c>
      <c r="G159" s="91"/>
      <c r="H159" s="91" t="s">
        <v>442</v>
      </c>
      <c r="I159" s="91" t="s">
        <v>442</v>
      </c>
      <c r="J159" s="91" t="s">
        <v>442</v>
      </c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8">
        <f t="shared" si="2"/>
        <v>60.6</v>
      </c>
      <c r="AF159" s="29"/>
    </row>
    <row r="160" spans="1:32" ht="16.5">
      <c r="A160" s="3" t="s">
        <v>117</v>
      </c>
      <c r="B160" s="4">
        <v>63</v>
      </c>
      <c r="C160" s="4">
        <v>76</v>
      </c>
      <c r="D160" s="4">
        <v>45</v>
      </c>
      <c r="E160" s="4">
        <v>31</v>
      </c>
      <c r="F160" s="4">
        <v>58</v>
      </c>
      <c r="G160" s="91"/>
      <c r="H160" s="91"/>
      <c r="I160" s="91"/>
      <c r="J160" s="91"/>
      <c r="K160" s="91"/>
      <c r="L160" s="91"/>
      <c r="M160" s="91"/>
      <c r="N160" s="91"/>
      <c r="O160" s="91" t="s">
        <v>442</v>
      </c>
      <c r="P160" s="91"/>
      <c r="Q160" s="91"/>
      <c r="R160" s="91" t="s">
        <v>442</v>
      </c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8">
        <f t="shared" si="2"/>
        <v>54.6</v>
      </c>
      <c r="AF160" s="29"/>
    </row>
    <row r="161" spans="1:32" ht="16.5">
      <c r="A161" s="3" t="s">
        <v>135</v>
      </c>
      <c r="B161" s="4">
        <v>59</v>
      </c>
      <c r="C161" s="4">
        <v>71</v>
      </c>
      <c r="D161" s="4">
        <v>18</v>
      </c>
      <c r="E161" s="4">
        <v>22</v>
      </c>
      <c r="F161" s="4">
        <v>68</v>
      </c>
      <c r="G161" s="91"/>
      <c r="H161" s="91"/>
      <c r="I161" s="91"/>
      <c r="J161" s="91"/>
      <c r="K161" s="91" t="s">
        <v>442</v>
      </c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 t="s">
        <v>442</v>
      </c>
      <c r="W161" s="91"/>
      <c r="X161" s="91"/>
      <c r="Y161" s="91"/>
      <c r="Z161" s="91"/>
      <c r="AA161" s="91"/>
      <c r="AB161" s="91"/>
      <c r="AC161" s="91"/>
      <c r="AD161" s="91"/>
      <c r="AE161" s="8">
        <f t="shared" si="2"/>
        <v>47.6</v>
      </c>
      <c r="AF161" s="29"/>
    </row>
    <row r="162" spans="1:32" ht="16.5">
      <c r="A162" s="3" t="s">
        <v>135</v>
      </c>
      <c r="B162" s="4">
        <v>59</v>
      </c>
      <c r="C162" s="4">
        <v>71</v>
      </c>
      <c r="D162" s="4">
        <v>18</v>
      </c>
      <c r="E162" s="4">
        <v>22</v>
      </c>
      <c r="F162" s="4">
        <v>68</v>
      </c>
      <c r="G162" s="91"/>
      <c r="H162" s="91"/>
      <c r="I162" s="91"/>
      <c r="J162" s="91"/>
      <c r="K162" s="91" t="s">
        <v>442</v>
      </c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 t="s">
        <v>442</v>
      </c>
      <c r="W162" s="91"/>
      <c r="X162" s="91"/>
      <c r="Y162" s="91"/>
      <c r="Z162" s="91"/>
      <c r="AA162" s="91"/>
      <c r="AB162" s="91"/>
      <c r="AC162" s="91"/>
      <c r="AD162" s="91"/>
      <c r="AE162" s="8">
        <f t="shared" si="2"/>
        <v>47.6</v>
      </c>
      <c r="AF162" s="29"/>
    </row>
    <row r="163" spans="1:32" ht="16.5">
      <c r="A163" s="3" t="s">
        <v>143</v>
      </c>
      <c r="B163" s="4">
        <v>55</v>
      </c>
      <c r="C163" s="4">
        <v>68</v>
      </c>
      <c r="D163" s="4">
        <v>49</v>
      </c>
      <c r="E163" s="4">
        <v>36</v>
      </c>
      <c r="F163" s="4">
        <v>39</v>
      </c>
      <c r="G163" s="91"/>
      <c r="H163" s="91"/>
      <c r="I163" s="91"/>
      <c r="J163" s="91"/>
      <c r="K163" s="91"/>
      <c r="L163" s="91"/>
      <c r="M163" s="91"/>
      <c r="N163" s="91" t="s">
        <v>442</v>
      </c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8">
        <f t="shared" si="2"/>
        <v>49.4</v>
      </c>
      <c r="AF163" s="29"/>
    </row>
    <row r="164" spans="1:32" ht="16.5">
      <c r="A164" s="3" t="s">
        <v>104</v>
      </c>
      <c r="B164" s="4">
        <v>71</v>
      </c>
      <c r="C164" s="4">
        <v>76</v>
      </c>
      <c r="D164" s="4">
        <v>51</v>
      </c>
      <c r="E164" s="4">
        <v>47</v>
      </c>
      <c r="F164" s="4">
        <v>56</v>
      </c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 t="s">
        <v>442</v>
      </c>
      <c r="T164" s="91"/>
      <c r="U164" s="91" t="s">
        <v>442</v>
      </c>
      <c r="V164" s="91"/>
      <c r="W164" s="91"/>
      <c r="X164" s="91"/>
      <c r="Y164" s="91"/>
      <c r="Z164" s="91"/>
      <c r="AA164" s="91"/>
      <c r="AB164" s="91"/>
      <c r="AC164" s="91" t="s">
        <v>442</v>
      </c>
      <c r="AD164" s="91"/>
      <c r="AE164" s="8">
        <f t="shared" si="2"/>
        <v>60.2</v>
      </c>
      <c r="AF164" s="29"/>
    </row>
    <row r="165" spans="1:32" ht="16.5">
      <c r="A165" s="3" t="s">
        <v>46</v>
      </c>
      <c r="B165" s="5">
        <v>87</v>
      </c>
      <c r="C165" s="5">
        <v>86</v>
      </c>
      <c r="D165" s="4">
        <v>72</v>
      </c>
      <c r="E165" s="4">
        <v>69</v>
      </c>
      <c r="F165" s="4">
        <v>78</v>
      </c>
      <c r="G165" s="91"/>
      <c r="H165" s="91" t="s">
        <v>442</v>
      </c>
      <c r="I165" s="91" t="s">
        <v>442</v>
      </c>
      <c r="J165" s="91"/>
      <c r="K165" s="91"/>
      <c r="L165" s="91"/>
      <c r="M165" s="91"/>
      <c r="N165" s="91" t="s">
        <v>442</v>
      </c>
      <c r="O165" s="91"/>
      <c r="P165" s="91" t="s">
        <v>442</v>
      </c>
      <c r="Q165" s="91"/>
      <c r="R165" s="91" t="s">
        <v>442</v>
      </c>
      <c r="S165" s="91"/>
      <c r="T165" s="91"/>
      <c r="U165" s="91" t="s">
        <v>442</v>
      </c>
      <c r="V165" s="91" t="s">
        <v>442</v>
      </c>
      <c r="W165" s="91"/>
      <c r="X165" s="91"/>
      <c r="Y165" s="91" t="s">
        <v>442</v>
      </c>
      <c r="Z165" s="91"/>
      <c r="AA165" s="91"/>
      <c r="AB165" s="91" t="s">
        <v>442</v>
      </c>
      <c r="AC165" s="91" t="s">
        <v>442</v>
      </c>
      <c r="AD165" s="91"/>
      <c r="AE165" s="8">
        <f t="shared" si="2"/>
        <v>78.400000000000006</v>
      </c>
      <c r="AF165" s="29"/>
    </row>
    <row r="166" spans="1:32" ht="16.5">
      <c r="A166" s="3" t="s">
        <v>126</v>
      </c>
      <c r="B166" s="4">
        <v>45</v>
      </c>
      <c r="C166" s="4">
        <v>72</v>
      </c>
      <c r="D166" s="4">
        <v>47</v>
      </c>
      <c r="E166" s="4">
        <v>48</v>
      </c>
      <c r="F166" s="4">
        <v>45</v>
      </c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 t="s">
        <v>442</v>
      </c>
      <c r="S166" s="91"/>
      <c r="T166" s="91" t="s">
        <v>442</v>
      </c>
      <c r="U166" s="91" t="s">
        <v>442</v>
      </c>
      <c r="V166" s="91"/>
      <c r="W166" s="91"/>
      <c r="X166" s="91"/>
      <c r="Y166" s="91"/>
      <c r="Z166" s="91"/>
      <c r="AA166" s="91"/>
      <c r="AB166" s="91"/>
      <c r="AC166" s="91"/>
      <c r="AD166" s="91"/>
      <c r="AE166" s="8">
        <f t="shared" si="2"/>
        <v>51.4</v>
      </c>
      <c r="AF166" s="29"/>
    </row>
    <row r="167" spans="1:32" ht="16.5">
      <c r="A167" s="3" t="s">
        <v>247</v>
      </c>
      <c r="B167" s="4">
        <v>30</v>
      </c>
      <c r="C167" s="4">
        <v>43</v>
      </c>
      <c r="D167" s="4">
        <v>67</v>
      </c>
      <c r="E167" s="4">
        <v>75</v>
      </c>
      <c r="F167" s="4">
        <v>70</v>
      </c>
      <c r="G167" s="91"/>
      <c r="H167" s="91" t="s">
        <v>442</v>
      </c>
      <c r="I167" s="91"/>
      <c r="J167" s="91"/>
      <c r="K167" s="91" t="s">
        <v>442</v>
      </c>
      <c r="L167" s="91"/>
      <c r="M167" s="91"/>
      <c r="N167" s="91"/>
      <c r="O167" s="91" t="s">
        <v>442</v>
      </c>
      <c r="P167" s="91"/>
      <c r="Q167" s="91"/>
      <c r="R167" s="91"/>
      <c r="S167" s="91"/>
      <c r="T167" s="91"/>
      <c r="U167" s="91" t="s">
        <v>442</v>
      </c>
      <c r="V167" s="91"/>
      <c r="W167" s="91"/>
      <c r="X167" s="91"/>
      <c r="Y167" s="91"/>
      <c r="Z167" s="91"/>
      <c r="AA167" s="91"/>
      <c r="AB167" s="91"/>
      <c r="AC167" s="91"/>
      <c r="AD167" s="91"/>
      <c r="AE167" s="8">
        <f t="shared" si="2"/>
        <v>57</v>
      </c>
      <c r="AF167" s="29"/>
    </row>
    <row r="168" spans="1:32" ht="16.5">
      <c r="A168" s="3" t="s">
        <v>255</v>
      </c>
      <c r="B168" s="4">
        <v>48</v>
      </c>
      <c r="C168" s="4">
        <v>72</v>
      </c>
      <c r="D168" s="4">
        <v>29</v>
      </c>
      <c r="E168" s="4">
        <v>16</v>
      </c>
      <c r="F168" s="4">
        <v>57</v>
      </c>
      <c r="G168" s="91"/>
      <c r="H168" s="91"/>
      <c r="I168" s="91"/>
      <c r="J168" s="91" t="s">
        <v>442</v>
      </c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 t="s">
        <v>442</v>
      </c>
      <c r="Z168" s="91"/>
      <c r="AA168" s="91"/>
      <c r="AB168" s="91"/>
      <c r="AC168" s="91"/>
      <c r="AD168" s="91"/>
      <c r="AE168" s="8">
        <f t="shared" si="2"/>
        <v>44.4</v>
      </c>
      <c r="AF168" s="29"/>
    </row>
    <row r="169" spans="1:32" ht="16.5">
      <c r="A169" s="3" t="s">
        <v>208</v>
      </c>
      <c r="B169" s="4">
        <v>62</v>
      </c>
      <c r="C169" s="4">
        <v>72</v>
      </c>
      <c r="D169" s="4">
        <v>30</v>
      </c>
      <c r="E169" s="4">
        <v>25</v>
      </c>
      <c r="F169" s="4">
        <v>52</v>
      </c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 t="s">
        <v>442</v>
      </c>
      <c r="R169" s="91"/>
      <c r="S169" s="91"/>
      <c r="T169" s="91" t="s">
        <v>442</v>
      </c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8">
        <f t="shared" si="2"/>
        <v>48.2</v>
      </c>
      <c r="AF169" s="29"/>
    </row>
    <row r="170" spans="1:32" ht="16.5">
      <c r="A170" s="3" t="s">
        <v>221</v>
      </c>
      <c r="B170" s="6">
        <v>92</v>
      </c>
      <c r="C170" s="5">
        <v>85</v>
      </c>
      <c r="D170" s="6">
        <v>90</v>
      </c>
      <c r="E170" s="4">
        <v>62</v>
      </c>
      <c r="F170" s="5">
        <v>87</v>
      </c>
      <c r="G170" s="91"/>
      <c r="H170" s="91" t="s">
        <v>442</v>
      </c>
      <c r="I170" s="91" t="s">
        <v>442</v>
      </c>
      <c r="J170" s="91"/>
      <c r="K170" s="91" t="s">
        <v>442</v>
      </c>
      <c r="L170" s="91" t="s">
        <v>442</v>
      </c>
      <c r="M170" s="91"/>
      <c r="N170" s="91" t="s">
        <v>442</v>
      </c>
      <c r="O170" s="91" t="s">
        <v>442</v>
      </c>
      <c r="P170" s="91" t="s">
        <v>442</v>
      </c>
      <c r="Q170" s="91"/>
      <c r="R170" s="91" t="s">
        <v>442</v>
      </c>
      <c r="S170" s="91" t="s">
        <v>442</v>
      </c>
      <c r="T170" s="91"/>
      <c r="U170" s="91"/>
      <c r="V170" s="91"/>
      <c r="W170" s="91"/>
      <c r="X170" s="91"/>
      <c r="Y170" s="91" t="s">
        <v>442</v>
      </c>
      <c r="Z170" s="91" t="s">
        <v>442</v>
      </c>
      <c r="AA170" s="91"/>
      <c r="AB170" s="91" t="s">
        <v>442</v>
      </c>
      <c r="AC170" s="91"/>
      <c r="AD170" s="91" t="s">
        <v>442</v>
      </c>
      <c r="AE170" s="8">
        <f t="shared" si="2"/>
        <v>83.2</v>
      </c>
      <c r="AF170" s="29"/>
    </row>
    <row r="171" spans="1:32" ht="16.5">
      <c r="A171" s="3" t="s">
        <v>112</v>
      </c>
      <c r="B171" s="4">
        <v>26</v>
      </c>
      <c r="C171" s="4">
        <v>30</v>
      </c>
      <c r="D171" s="4">
        <v>71</v>
      </c>
      <c r="E171" s="4">
        <v>76</v>
      </c>
      <c r="F171" s="4">
        <v>74</v>
      </c>
      <c r="G171" s="91"/>
      <c r="H171" s="91" t="s">
        <v>442</v>
      </c>
      <c r="I171" s="91"/>
      <c r="J171" s="91"/>
      <c r="K171" s="91"/>
      <c r="L171" s="91"/>
      <c r="M171" s="91"/>
      <c r="N171" s="91"/>
      <c r="O171" s="91" t="s">
        <v>442</v>
      </c>
      <c r="P171" s="91"/>
      <c r="Q171" s="91"/>
      <c r="R171" s="91"/>
      <c r="S171" s="91"/>
      <c r="T171" s="91"/>
      <c r="U171" s="91"/>
      <c r="V171" s="91" t="s">
        <v>442</v>
      </c>
      <c r="W171" s="91"/>
      <c r="X171" s="91"/>
      <c r="Y171" s="91"/>
      <c r="Z171" s="91"/>
      <c r="AA171" s="91"/>
      <c r="AB171" s="91"/>
      <c r="AC171" s="91"/>
      <c r="AD171" s="91"/>
      <c r="AE171" s="8">
        <f t="shared" si="2"/>
        <v>55.4</v>
      </c>
      <c r="AF171" s="29"/>
    </row>
    <row r="172" spans="1:32" ht="16.5">
      <c r="A172" s="3" t="s">
        <v>205</v>
      </c>
      <c r="B172" s="4">
        <v>57</v>
      </c>
      <c r="C172" s="4">
        <v>77</v>
      </c>
      <c r="D172" s="4">
        <v>22</v>
      </c>
      <c r="E172" s="4">
        <v>17</v>
      </c>
      <c r="F172" s="4">
        <v>42</v>
      </c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 t="s">
        <v>442</v>
      </c>
      <c r="R172" s="91"/>
      <c r="S172" s="91"/>
      <c r="T172" s="91" t="s">
        <v>442</v>
      </c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8">
        <f t="shared" si="2"/>
        <v>43</v>
      </c>
      <c r="AF172" s="29"/>
    </row>
    <row r="173" spans="1:32" ht="16.5">
      <c r="A173" s="3" t="s">
        <v>260</v>
      </c>
      <c r="B173" s="4">
        <v>55</v>
      </c>
      <c r="C173" s="4">
        <v>66</v>
      </c>
      <c r="D173" s="4">
        <v>51</v>
      </c>
      <c r="E173" s="4">
        <v>40</v>
      </c>
      <c r="F173" s="4">
        <v>44</v>
      </c>
      <c r="G173" s="91"/>
      <c r="H173" s="91"/>
      <c r="I173" s="91"/>
      <c r="J173" s="91"/>
      <c r="K173" s="91"/>
      <c r="L173" s="91"/>
      <c r="M173" s="91"/>
      <c r="N173" s="91"/>
      <c r="O173" s="91"/>
      <c r="P173" s="91" t="s">
        <v>442</v>
      </c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 t="s">
        <v>442</v>
      </c>
      <c r="AD173" s="91"/>
      <c r="AE173" s="8">
        <f t="shared" si="2"/>
        <v>51.2</v>
      </c>
      <c r="AF173" s="29"/>
    </row>
    <row r="174" spans="1:32" ht="16.5">
      <c r="A174" s="3" t="s">
        <v>235</v>
      </c>
      <c r="B174" s="4">
        <v>71</v>
      </c>
      <c r="C174" s="4">
        <v>78</v>
      </c>
      <c r="D174" s="4">
        <v>70</v>
      </c>
      <c r="E174" s="4">
        <v>52</v>
      </c>
      <c r="F174" s="4">
        <v>56</v>
      </c>
      <c r="G174" s="91" t="s">
        <v>442</v>
      </c>
      <c r="H174" s="91" t="s">
        <v>442</v>
      </c>
      <c r="I174" s="91"/>
      <c r="J174" s="91" t="s">
        <v>442</v>
      </c>
      <c r="K174" s="91"/>
      <c r="L174" s="91" t="s">
        <v>442</v>
      </c>
      <c r="M174" s="91"/>
      <c r="N174" s="91"/>
      <c r="O174" s="91"/>
      <c r="P174" s="91"/>
      <c r="Q174" s="91"/>
      <c r="R174" s="91"/>
      <c r="S174" s="91"/>
      <c r="T174" s="91"/>
      <c r="U174" s="91" t="s">
        <v>442</v>
      </c>
      <c r="V174" s="91"/>
      <c r="W174" s="91"/>
      <c r="X174" s="91"/>
      <c r="Y174" s="91"/>
      <c r="Z174" s="91"/>
      <c r="AA174" s="91"/>
      <c r="AB174" s="91"/>
      <c r="AC174" s="91"/>
      <c r="AD174" s="91"/>
      <c r="AE174" s="8">
        <f t="shared" si="2"/>
        <v>65.400000000000006</v>
      </c>
      <c r="AF174" s="29"/>
    </row>
    <row r="175" spans="1:32" ht="16.5">
      <c r="A175" s="3" t="s">
        <v>42</v>
      </c>
      <c r="B175" s="4">
        <v>78</v>
      </c>
      <c r="C175" s="6">
        <v>100</v>
      </c>
      <c r="D175" s="4">
        <v>30</v>
      </c>
      <c r="E175" s="4">
        <v>13</v>
      </c>
      <c r="F175" s="4">
        <v>40</v>
      </c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 t="s">
        <v>442</v>
      </c>
      <c r="R175" s="91" t="s">
        <v>442</v>
      </c>
      <c r="S175" s="91"/>
      <c r="T175" s="91" t="s">
        <v>442</v>
      </c>
      <c r="U175" s="91"/>
      <c r="V175" s="91"/>
      <c r="W175" s="91"/>
      <c r="X175" s="91"/>
      <c r="Y175" s="91"/>
      <c r="Z175" s="91"/>
      <c r="AA175" s="91"/>
      <c r="AB175" s="91"/>
      <c r="AC175" s="91" t="s">
        <v>442</v>
      </c>
      <c r="AD175" s="91"/>
      <c r="AE175" s="8">
        <f t="shared" si="2"/>
        <v>52.2</v>
      </c>
      <c r="AF175" s="29"/>
    </row>
    <row r="176" spans="1:32" ht="16.5">
      <c r="A176" s="3" t="s">
        <v>184</v>
      </c>
      <c r="B176" s="4">
        <v>33</v>
      </c>
      <c r="C176" s="4">
        <v>32</v>
      </c>
      <c r="D176" s="5">
        <v>80</v>
      </c>
      <c r="E176" s="4">
        <v>77</v>
      </c>
      <c r="F176" s="4">
        <v>55</v>
      </c>
      <c r="G176" s="91"/>
      <c r="H176" s="91" t="s">
        <v>442</v>
      </c>
      <c r="I176" s="91" t="s">
        <v>442</v>
      </c>
      <c r="J176" s="91"/>
      <c r="K176" s="91" t="s">
        <v>442</v>
      </c>
      <c r="L176" s="91" t="s">
        <v>442</v>
      </c>
      <c r="M176" s="91"/>
      <c r="N176" s="91"/>
      <c r="O176" s="91" t="s">
        <v>442</v>
      </c>
      <c r="P176" s="91"/>
      <c r="Q176" s="91"/>
      <c r="R176" s="91"/>
      <c r="S176" s="91"/>
      <c r="T176" s="91"/>
      <c r="U176" s="91" t="s">
        <v>442</v>
      </c>
      <c r="V176" s="91"/>
      <c r="W176" s="91"/>
      <c r="X176" s="91"/>
      <c r="Y176" s="91"/>
      <c r="Z176" s="91"/>
      <c r="AA176" s="91"/>
      <c r="AB176" s="91" t="s">
        <v>442</v>
      </c>
      <c r="AC176" s="91"/>
      <c r="AD176" s="91" t="s">
        <v>442</v>
      </c>
      <c r="AE176" s="8">
        <f t="shared" si="2"/>
        <v>55.4</v>
      </c>
      <c r="AF176" s="29"/>
    </row>
    <row r="177" spans="1:32" ht="16.5">
      <c r="A177" s="3" t="s">
        <v>391</v>
      </c>
      <c r="B177" s="4">
        <v>50</v>
      </c>
      <c r="C177" s="4">
        <v>33</v>
      </c>
      <c r="D177" s="4">
        <v>60</v>
      </c>
      <c r="E177" s="4">
        <v>69</v>
      </c>
      <c r="F177" s="4">
        <v>78</v>
      </c>
      <c r="G177" s="91" t="s">
        <v>442</v>
      </c>
      <c r="H177" s="91"/>
      <c r="I177" s="91" t="s">
        <v>442</v>
      </c>
      <c r="J177" s="91"/>
      <c r="K177" s="91"/>
      <c r="L177" s="91"/>
      <c r="M177" s="91" t="s">
        <v>442</v>
      </c>
      <c r="N177" s="91"/>
      <c r="O177" s="91" t="s">
        <v>442</v>
      </c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 t="s">
        <v>442</v>
      </c>
      <c r="AC177" s="91"/>
      <c r="AD177" s="91"/>
      <c r="AE177" s="8">
        <f t="shared" si="2"/>
        <v>58</v>
      </c>
      <c r="AF177" s="29"/>
    </row>
    <row r="178" spans="1:32" ht="16.5">
      <c r="A178" s="3" t="s">
        <v>181</v>
      </c>
      <c r="B178" s="5">
        <v>82</v>
      </c>
      <c r="C178" s="5">
        <v>88</v>
      </c>
      <c r="D178" s="4">
        <v>44</v>
      </c>
      <c r="E178" s="4">
        <v>43</v>
      </c>
      <c r="F178" s="4">
        <v>55</v>
      </c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 t="s">
        <v>442</v>
      </c>
      <c r="R178" s="91"/>
      <c r="S178" s="91"/>
      <c r="T178" s="91" t="s">
        <v>442</v>
      </c>
      <c r="U178" s="91" t="s">
        <v>442</v>
      </c>
      <c r="V178" s="91" t="s">
        <v>442</v>
      </c>
      <c r="W178" s="91"/>
      <c r="X178" s="91"/>
      <c r="Y178" s="91"/>
      <c r="Z178" s="91"/>
      <c r="AA178" s="91"/>
      <c r="AB178" s="91"/>
      <c r="AC178" s="91"/>
      <c r="AD178" s="91"/>
      <c r="AE178" s="8">
        <f t="shared" si="2"/>
        <v>62.4</v>
      </c>
      <c r="AF178" s="29"/>
    </row>
    <row r="179" spans="1:32" ht="16.5">
      <c r="A179" s="3" t="s">
        <v>327</v>
      </c>
      <c r="B179" s="4">
        <v>70</v>
      </c>
      <c r="C179" s="4">
        <v>75</v>
      </c>
      <c r="D179" s="4">
        <v>47</v>
      </c>
      <c r="E179" s="4">
        <v>42</v>
      </c>
      <c r="F179" s="4">
        <v>63</v>
      </c>
      <c r="G179" s="91"/>
      <c r="H179" s="91"/>
      <c r="I179" s="91"/>
      <c r="J179" s="91"/>
      <c r="K179" s="91"/>
      <c r="L179" s="91"/>
      <c r="M179" s="91"/>
      <c r="N179" s="91"/>
      <c r="O179" s="91"/>
      <c r="P179" s="91" t="s">
        <v>442</v>
      </c>
      <c r="Q179" s="91"/>
      <c r="R179" s="91"/>
      <c r="S179" s="91"/>
      <c r="T179" s="91" t="s">
        <v>442</v>
      </c>
      <c r="U179" s="91"/>
      <c r="V179" s="91"/>
      <c r="W179" s="91"/>
      <c r="X179" s="91"/>
      <c r="Y179" s="91"/>
      <c r="Z179" s="91"/>
      <c r="AA179" s="91"/>
      <c r="AB179" s="91" t="s">
        <v>442</v>
      </c>
      <c r="AC179" s="91"/>
      <c r="AD179" s="91"/>
      <c r="AE179" s="8">
        <f t="shared" si="2"/>
        <v>59.4</v>
      </c>
      <c r="AF179" s="29"/>
    </row>
    <row r="180" spans="1:32" ht="16.5">
      <c r="A180" s="3" t="s">
        <v>66</v>
      </c>
      <c r="B180" s="4">
        <v>79</v>
      </c>
      <c r="C180" s="4">
        <v>76</v>
      </c>
      <c r="D180" s="4">
        <v>74</v>
      </c>
      <c r="E180" s="4">
        <v>79</v>
      </c>
      <c r="F180" s="4">
        <v>75</v>
      </c>
      <c r="G180" s="91"/>
      <c r="H180" s="91" t="s">
        <v>442</v>
      </c>
      <c r="I180" s="91" t="s">
        <v>442</v>
      </c>
      <c r="J180" s="91"/>
      <c r="K180" s="91" t="s">
        <v>442</v>
      </c>
      <c r="L180" s="91"/>
      <c r="M180" s="91"/>
      <c r="N180" s="91"/>
      <c r="O180" s="91"/>
      <c r="P180" s="91" t="s">
        <v>442</v>
      </c>
      <c r="Q180" s="91"/>
      <c r="R180" s="91"/>
      <c r="S180" s="91"/>
      <c r="T180" s="91"/>
      <c r="U180" s="91" t="s">
        <v>442</v>
      </c>
      <c r="V180" s="91" t="s">
        <v>442</v>
      </c>
      <c r="W180" s="91"/>
      <c r="X180" s="91"/>
      <c r="Y180" s="91"/>
      <c r="Z180" s="91" t="s">
        <v>442</v>
      </c>
      <c r="AA180" s="91"/>
      <c r="AB180" s="91" t="s">
        <v>442</v>
      </c>
      <c r="AC180" s="91"/>
      <c r="AD180" s="91"/>
      <c r="AE180" s="8">
        <f t="shared" si="2"/>
        <v>76.599999999999994</v>
      </c>
      <c r="AF180" s="29"/>
    </row>
    <row r="181" spans="1:32" ht="16.5">
      <c r="A181" s="3" t="s">
        <v>322</v>
      </c>
      <c r="B181" s="4">
        <v>37</v>
      </c>
      <c r="C181" s="4">
        <v>34</v>
      </c>
      <c r="D181" s="4">
        <v>63</v>
      </c>
      <c r="E181" s="4">
        <v>78</v>
      </c>
      <c r="F181" s="4">
        <v>63</v>
      </c>
      <c r="G181" s="91" t="s">
        <v>442</v>
      </c>
      <c r="H181" s="91" t="s">
        <v>442</v>
      </c>
      <c r="I181" s="91"/>
      <c r="J181" s="91"/>
      <c r="K181" s="91" t="s">
        <v>442</v>
      </c>
      <c r="L181" s="91"/>
      <c r="M181" s="91" t="s">
        <v>442</v>
      </c>
      <c r="N181" s="91"/>
      <c r="O181" s="91"/>
      <c r="P181" s="91"/>
      <c r="Q181" s="91"/>
      <c r="R181" s="91"/>
      <c r="S181" s="91"/>
      <c r="T181" s="91"/>
      <c r="U181" s="91"/>
      <c r="V181" s="91" t="s">
        <v>442</v>
      </c>
      <c r="W181" s="91"/>
      <c r="X181" s="91"/>
      <c r="Y181" s="91"/>
      <c r="Z181" s="91" t="s">
        <v>442</v>
      </c>
      <c r="AA181" s="91"/>
      <c r="AB181" s="91"/>
      <c r="AC181" s="91"/>
      <c r="AD181" s="91" t="s">
        <v>442</v>
      </c>
      <c r="AE181" s="8">
        <f t="shared" si="2"/>
        <v>55</v>
      </c>
      <c r="AF181" s="29"/>
    </row>
    <row r="182" spans="1:32" ht="16.5">
      <c r="A182" s="3" t="s">
        <v>361</v>
      </c>
      <c r="B182" s="4">
        <v>71</v>
      </c>
      <c r="C182" s="5">
        <v>84</v>
      </c>
      <c r="D182" s="4">
        <v>13</v>
      </c>
      <c r="E182" s="4">
        <v>9</v>
      </c>
      <c r="F182" s="4">
        <v>24</v>
      </c>
      <c r="G182" s="91"/>
      <c r="H182" s="91"/>
      <c r="I182" s="91"/>
      <c r="J182" s="91"/>
      <c r="K182" s="91"/>
      <c r="L182" s="91"/>
      <c r="M182" s="91"/>
      <c r="N182" s="91"/>
      <c r="O182" s="91"/>
      <c r="P182" s="91" t="s">
        <v>442</v>
      </c>
      <c r="Q182" s="91"/>
      <c r="R182" s="91"/>
      <c r="S182" s="91"/>
      <c r="T182" s="91"/>
      <c r="U182" s="91"/>
      <c r="V182" s="91"/>
      <c r="W182" s="91"/>
      <c r="X182" s="91"/>
      <c r="Y182" s="91" t="s">
        <v>442</v>
      </c>
      <c r="Z182" s="91"/>
      <c r="AA182" s="91"/>
      <c r="AB182" s="91"/>
      <c r="AC182" s="91" t="s">
        <v>442</v>
      </c>
      <c r="AD182" s="91"/>
      <c r="AE182" s="8">
        <f t="shared" si="2"/>
        <v>40.200000000000003</v>
      </c>
      <c r="AF182" s="29"/>
    </row>
    <row r="183" spans="1:32" ht="16.5">
      <c r="A183" s="3" t="s">
        <v>331</v>
      </c>
      <c r="B183" s="4">
        <v>55</v>
      </c>
      <c r="C183" s="4">
        <v>74</v>
      </c>
      <c r="D183" s="4">
        <v>42</v>
      </c>
      <c r="E183" s="4">
        <v>30</v>
      </c>
      <c r="F183" s="4">
        <v>51</v>
      </c>
      <c r="G183" s="91"/>
      <c r="H183" s="91"/>
      <c r="I183" s="91"/>
      <c r="J183" s="91"/>
      <c r="K183" s="91"/>
      <c r="L183" s="91"/>
      <c r="M183" s="91"/>
      <c r="N183" s="91" t="s">
        <v>442</v>
      </c>
      <c r="O183" s="91" t="s">
        <v>442</v>
      </c>
      <c r="P183" s="91"/>
      <c r="Q183" s="91"/>
      <c r="R183" s="91"/>
      <c r="S183" s="91"/>
      <c r="T183" s="91" t="s">
        <v>442</v>
      </c>
      <c r="U183" s="91" t="s">
        <v>442</v>
      </c>
      <c r="V183" s="91"/>
      <c r="W183" s="91"/>
      <c r="X183" s="91"/>
      <c r="Y183" s="91"/>
      <c r="Z183" s="91"/>
      <c r="AA183" s="91"/>
      <c r="AB183" s="91"/>
      <c r="AC183" s="91"/>
      <c r="AD183" s="91"/>
      <c r="AE183" s="8">
        <f t="shared" si="2"/>
        <v>50.4</v>
      </c>
      <c r="AF183" s="29"/>
    </row>
    <row r="184" spans="1:32" ht="16.5">
      <c r="A184" s="3" t="s">
        <v>357</v>
      </c>
      <c r="B184" s="4">
        <v>60</v>
      </c>
      <c r="C184" s="4">
        <v>48</v>
      </c>
      <c r="D184" s="4">
        <v>73</v>
      </c>
      <c r="E184" s="4">
        <v>68</v>
      </c>
      <c r="F184" s="4">
        <v>71</v>
      </c>
      <c r="G184" s="91" t="s">
        <v>442</v>
      </c>
      <c r="H184" s="91" t="s">
        <v>442</v>
      </c>
      <c r="I184" s="91"/>
      <c r="J184" s="91" t="s">
        <v>442</v>
      </c>
      <c r="K184" s="91" t="s">
        <v>442</v>
      </c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 t="s">
        <v>442</v>
      </c>
      <c r="W184" s="91"/>
      <c r="X184" s="91"/>
      <c r="Y184" s="91" t="s">
        <v>442</v>
      </c>
      <c r="Z184" s="91"/>
      <c r="AA184" s="91"/>
      <c r="AB184" s="91"/>
      <c r="AC184" s="91"/>
      <c r="AD184" s="91" t="s">
        <v>442</v>
      </c>
      <c r="AE184" s="8">
        <f t="shared" si="2"/>
        <v>64</v>
      </c>
      <c r="AF184" s="29"/>
    </row>
    <row r="185" spans="1:32" ht="16.5">
      <c r="A185" s="3" t="s">
        <v>324</v>
      </c>
      <c r="B185" s="4">
        <v>75</v>
      </c>
      <c r="C185" s="4">
        <v>69</v>
      </c>
      <c r="D185" s="4">
        <v>67</v>
      </c>
      <c r="E185" s="4">
        <v>45</v>
      </c>
      <c r="F185" s="4">
        <v>53</v>
      </c>
      <c r="G185" s="91"/>
      <c r="H185" s="91"/>
      <c r="I185" s="91"/>
      <c r="J185" s="91"/>
      <c r="K185" s="91"/>
      <c r="L185" s="91"/>
      <c r="M185" s="91" t="s">
        <v>442</v>
      </c>
      <c r="N185" s="91"/>
      <c r="O185" s="91"/>
      <c r="P185" s="91"/>
      <c r="Q185" s="91" t="s">
        <v>442</v>
      </c>
      <c r="R185" s="91"/>
      <c r="S185" s="91"/>
      <c r="T185" s="91"/>
      <c r="U185" s="91" t="s">
        <v>442</v>
      </c>
      <c r="V185" s="91"/>
      <c r="W185" s="91"/>
      <c r="X185" s="91"/>
      <c r="Y185" s="91" t="s">
        <v>442</v>
      </c>
      <c r="Z185" s="91"/>
      <c r="AA185" s="91"/>
      <c r="AB185" s="91"/>
      <c r="AC185" s="91"/>
      <c r="AD185" s="91"/>
      <c r="AE185" s="8">
        <f t="shared" si="2"/>
        <v>61.8</v>
      </c>
      <c r="AF185" s="29"/>
    </row>
    <row r="186" spans="1:32" ht="16.5">
      <c r="A186" s="3" t="s">
        <v>324</v>
      </c>
      <c r="B186" s="4">
        <v>70</v>
      </c>
      <c r="C186" s="4">
        <v>61</v>
      </c>
      <c r="D186" s="4">
        <v>45</v>
      </c>
      <c r="E186" s="4">
        <v>30</v>
      </c>
      <c r="F186" s="4">
        <v>45</v>
      </c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 t="s">
        <v>442</v>
      </c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 t="s">
        <v>442</v>
      </c>
      <c r="AD186" s="91"/>
      <c r="AE186" s="8">
        <f t="shared" si="2"/>
        <v>50.2</v>
      </c>
      <c r="AF186" s="29" t="s">
        <v>405</v>
      </c>
    </row>
    <row r="187" spans="1:32" ht="16.5">
      <c r="A187" s="3" t="s">
        <v>874</v>
      </c>
      <c r="B187" s="4">
        <v>25</v>
      </c>
      <c r="C187" s="4">
        <v>27</v>
      </c>
      <c r="D187" s="5">
        <v>82</v>
      </c>
      <c r="E187" s="6">
        <v>91</v>
      </c>
      <c r="F187" s="4">
        <v>77</v>
      </c>
      <c r="G187" s="91" t="s">
        <v>442</v>
      </c>
      <c r="H187" s="91" t="s">
        <v>442</v>
      </c>
      <c r="I187" s="91" t="s">
        <v>442</v>
      </c>
      <c r="J187" s="91" t="s">
        <v>442</v>
      </c>
      <c r="K187" s="91"/>
      <c r="L187" s="91"/>
      <c r="M187" s="91" t="s">
        <v>442</v>
      </c>
      <c r="N187" s="91"/>
      <c r="O187" s="91"/>
      <c r="P187" s="91"/>
      <c r="Q187" s="91"/>
      <c r="R187" s="91"/>
      <c r="S187" s="91"/>
      <c r="T187" s="91"/>
      <c r="U187" s="91"/>
      <c r="V187" s="91" t="s">
        <v>442</v>
      </c>
      <c r="W187" s="91"/>
      <c r="X187" s="91"/>
      <c r="Y187" s="91"/>
      <c r="Z187" s="91"/>
      <c r="AA187" s="91"/>
      <c r="AB187" s="91"/>
      <c r="AC187" s="91"/>
      <c r="AD187" s="91"/>
      <c r="AE187" s="8">
        <f t="shared" si="2"/>
        <v>60.4</v>
      </c>
      <c r="AF187" s="29"/>
    </row>
    <row r="188" spans="1:32" ht="16.5">
      <c r="A188" s="3" t="s">
        <v>136</v>
      </c>
      <c r="B188" s="4">
        <v>52</v>
      </c>
      <c r="C188" s="4">
        <v>41</v>
      </c>
      <c r="D188" s="4">
        <v>63</v>
      </c>
      <c r="E188" s="4">
        <v>62</v>
      </c>
      <c r="F188" s="4">
        <v>63</v>
      </c>
      <c r="G188" s="91"/>
      <c r="H188" s="91" t="s">
        <v>442</v>
      </c>
      <c r="I188" s="91" t="s">
        <v>442</v>
      </c>
      <c r="J188" s="91"/>
      <c r="K188" s="91"/>
      <c r="L188" s="91"/>
      <c r="M188" s="91" t="s">
        <v>442</v>
      </c>
      <c r="N188" s="91" t="s">
        <v>442</v>
      </c>
      <c r="O188" s="91"/>
      <c r="P188" s="91"/>
      <c r="Q188" s="91"/>
      <c r="R188" s="91"/>
      <c r="S188" s="91"/>
      <c r="T188" s="91"/>
      <c r="U188" s="91"/>
      <c r="V188" s="91" t="s">
        <v>442</v>
      </c>
      <c r="W188" s="91"/>
      <c r="X188" s="91"/>
      <c r="Y188" s="91"/>
      <c r="Z188" s="91"/>
      <c r="AA188" s="91"/>
      <c r="AB188" s="91"/>
      <c r="AC188" s="91"/>
      <c r="AD188" s="91"/>
      <c r="AE188" s="8">
        <f t="shared" si="2"/>
        <v>56.2</v>
      </c>
      <c r="AF188" s="29"/>
    </row>
    <row r="189" spans="1:32" ht="16.5">
      <c r="A189" s="3" t="s">
        <v>182</v>
      </c>
      <c r="B189" s="4">
        <v>70</v>
      </c>
      <c r="C189" s="4">
        <v>52</v>
      </c>
      <c r="D189" s="4">
        <v>73</v>
      </c>
      <c r="E189" s="4">
        <v>68</v>
      </c>
      <c r="F189" s="5">
        <v>81</v>
      </c>
      <c r="G189" s="91" t="s">
        <v>442</v>
      </c>
      <c r="H189" s="91"/>
      <c r="I189" s="91" t="s">
        <v>442</v>
      </c>
      <c r="J189" s="91" t="s">
        <v>442</v>
      </c>
      <c r="K189" s="91" t="s">
        <v>442</v>
      </c>
      <c r="L189" s="91"/>
      <c r="M189" s="91"/>
      <c r="N189" s="91" t="s">
        <v>442</v>
      </c>
      <c r="O189" s="91" t="s">
        <v>442</v>
      </c>
      <c r="P189" s="91"/>
      <c r="Q189" s="91"/>
      <c r="R189" s="91"/>
      <c r="S189" s="91"/>
      <c r="T189" s="91" t="s">
        <v>442</v>
      </c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8">
        <f t="shared" si="2"/>
        <v>68.8</v>
      </c>
      <c r="AF189" s="29"/>
    </row>
    <row r="190" spans="1:32" ht="16.5">
      <c r="A190" s="3" t="s">
        <v>203</v>
      </c>
      <c r="B190" s="4">
        <v>41</v>
      </c>
      <c r="C190" s="4">
        <v>40</v>
      </c>
      <c r="D190" s="4">
        <v>66</v>
      </c>
      <c r="E190" s="4">
        <v>67</v>
      </c>
      <c r="F190" s="4">
        <v>69</v>
      </c>
      <c r="G190" s="91"/>
      <c r="H190" s="91" t="s">
        <v>442</v>
      </c>
      <c r="I190" s="91" t="s">
        <v>442</v>
      </c>
      <c r="J190" s="91"/>
      <c r="K190" s="91"/>
      <c r="L190" s="91"/>
      <c r="M190" s="91"/>
      <c r="N190" s="91"/>
      <c r="O190" s="91" t="s">
        <v>442</v>
      </c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 t="s">
        <v>442</v>
      </c>
      <c r="AA190" s="91"/>
      <c r="AB190" s="91" t="s">
        <v>442</v>
      </c>
      <c r="AC190" s="91"/>
      <c r="AD190" s="91"/>
      <c r="AE190" s="8">
        <f t="shared" si="2"/>
        <v>56.6</v>
      </c>
      <c r="AF190" s="29"/>
    </row>
    <row r="191" spans="1:32" ht="16.5">
      <c r="A191" s="3" t="s">
        <v>312</v>
      </c>
      <c r="B191" s="4">
        <v>72</v>
      </c>
      <c r="C191" s="6">
        <v>90</v>
      </c>
      <c r="D191" s="4">
        <v>24</v>
      </c>
      <c r="E191" s="4">
        <v>23</v>
      </c>
      <c r="F191" s="4">
        <v>34</v>
      </c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 t="s">
        <v>442</v>
      </c>
      <c r="S191" s="91"/>
      <c r="T191" s="91"/>
      <c r="U191" s="91" t="s">
        <v>442</v>
      </c>
      <c r="V191" s="91" t="s">
        <v>442</v>
      </c>
      <c r="W191" s="91"/>
      <c r="X191" s="91"/>
      <c r="Y191" s="91"/>
      <c r="Z191" s="91"/>
      <c r="AA191" s="91"/>
      <c r="AB191" s="91"/>
      <c r="AC191" s="91" t="s">
        <v>442</v>
      </c>
      <c r="AD191" s="91"/>
      <c r="AE191" s="8">
        <f t="shared" si="2"/>
        <v>48.6</v>
      </c>
      <c r="AF191" s="29"/>
    </row>
    <row r="192" spans="1:32" ht="16.5">
      <c r="A192" s="3" t="s">
        <v>67</v>
      </c>
      <c r="B192" s="4">
        <v>57</v>
      </c>
      <c r="C192" s="4">
        <v>39</v>
      </c>
      <c r="D192" s="4">
        <v>69</v>
      </c>
      <c r="E192" s="5">
        <v>85</v>
      </c>
      <c r="F192" s="4">
        <v>67</v>
      </c>
      <c r="G192" s="91"/>
      <c r="H192" s="91" t="s">
        <v>442</v>
      </c>
      <c r="I192" s="91" t="s">
        <v>442</v>
      </c>
      <c r="J192" s="91"/>
      <c r="K192" s="91" t="s">
        <v>442</v>
      </c>
      <c r="L192" s="91" t="s">
        <v>442</v>
      </c>
      <c r="M192" s="91" t="s">
        <v>442</v>
      </c>
      <c r="N192" s="91"/>
      <c r="O192" s="91"/>
      <c r="P192" s="91"/>
      <c r="Q192" s="91"/>
      <c r="R192" s="91"/>
      <c r="S192" s="91"/>
      <c r="T192" s="91"/>
      <c r="U192" s="91"/>
      <c r="V192" s="91" t="s">
        <v>442</v>
      </c>
      <c r="W192" s="91"/>
      <c r="X192" s="91"/>
      <c r="Y192" s="91"/>
      <c r="Z192" s="91" t="s">
        <v>442</v>
      </c>
      <c r="AA192" s="91"/>
      <c r="AB192" s="91"/>
      <c r="AC192" s="91"/>
      <c r="AD192" s="91" t="s">
        <v>442</v>
      </c>
      <c r="AE192" s="8">
        <f t="shared" si="2"/>
        <v>63.4</v>
      </c>
      <c r="AF192" s="29"/>
    </row>
    <row r="193" spans="1:32" ht="16.5">
      <c r="A193" s="3" t="s">
        <v>346</v>
      </c>
      <c r="B193" s="5">
        <v>86</v>
      </c>
      <c r="C193" s="5">
        <v>83</v>
      </c>
      <c r="D193" s="4">
        <v>79</v>
      </c>
      <c r="E193" s="4">
        <v>72</v>
      </c>
      <c r="F193" s="5">
        <v>82</v>
      </c>
      <c r="G193" s="91" t="s">
        <v>442</v>
      </c>
      <c r="H193" s="91"/>
      <c r="I193" s="91"/>
      <c r="J193" s="91"/>
      <c r="K193" s="91"/>
      <c r="L193" s="91"/>
      <c r="M193" s="91" t="s">
        <v>442</v>
      </c>
      <c r="N193" s="91" t="s">
        <v>442</v>
      </c>
      <c r="O193" s="91"/>
      <c r="P193" s="91" t="s">
        <v>442</v>
      </c>
      <c r="Q193" s="91" t="s">
        <v>442</v>
      </c>
      <c r="R193" s="91"/>
      <c r="S193" s="91" t="s">
        <v>442</v>
      </c>
      <c r="T193" s="91" t="s">
        <v>442</v>
      </c>
      <c r="U193" s="91"/>
      <c r="V193" s="91" t="s">
        <v>442</v>
      </c>
      <c r="W193" s="91"/>
      <c r="X193" s="91"/>
      <c r="Y193" s="91"/>
      <c r="Z193" s="91" t="s">
        <v>442</v>
      </c>
      <c r="AA193" s="91"/>
      <c r="AB193" s="91"/>
      <c r="AC193" s="91" t="s">
        <v>442</v>
      </c>
      <c r="AD193" s="91"/>
      <c r="AE193" s="8">
        <f t="shared" si="2"/>
        <v>80.400000000000006</v>
      </c>
      <c r="AF193" s="29"/>
    </row>
    <row r="194" spans="1:32" ht="16.5">
      <c r="A194" s="3" t="s">
        <v>371</v>
      </c>
      <c r="B194" s="4">
        <v>49</v>
      </c>
      <c r="C194" s="4">
        <v>69</v>
      </c>
      <c r="D194" s="4">
        <v>50</v>
      </c>
      <c r="E194" s="4">
        <v>47</v>
      </c>
      <c r="F194" s="4">
        <v>51</v>
      </c>
      <c r="G194" s="91"/>
      <c r="H194" s="91"/>
      <c r="I194" s="91"/>
      <c r="J194" s="91"/>
      <c r="K194" s="91" t="s">
        <v>442</v>
      </c>
      <c r="L194" s="91"/>
      <c r="M194" s="91" t="s">
        <v>442</v>
      </c>
      <c r="N194" s="91" t="s">
        <v>442</v>
      </c>
      <c r="O194" s="91"/>
      <c r="P194" s="91"/>
      <c r="Q194" s="91"/>
      <c r="R194" s="91"/>
      <c r="S194" s="91"/>
      <c r="T194" s="91" t="s">
        <v>442</v>
      </c>
      <c r="U194" s="91"/>
      <c r="V194" s="91"/>
      <c r="W194" s="91"/>
      <c r="X194" s="91"/>
      <c r="Y194" s="91"/>
      <c r="Z194" s="91"/>
      <c r="AA194" s="91"/>
      <c r="AB194" s="91" t="s">
        <v>442</v>
      </c>
      <c r="AC194" s="91"/>
      <c r="AD194" s="91"/>
      <c r="AE194" s="8">
        <f t="shared" si="2"/>
        <v>53.2</v>
      </c>
      <c r="AF194" s="29"/>
    </row>
    <row r="195" spans="1:32" ht="16.5">
      <c r="A195" s="3" t="s">
        <v>282</v>
      </c>
      <c r="B195" s="4">
        <v>29</v>
      </c>
      <c r="C195" s="4">
        <v>26</v>
      </c>
      <c r="D195" s="5">
        <v>82</v>
      </c>
      <c r="E195" s="5">
        <v>85</v>
      </c>
      <c r="F195" s="4">
        <v>69</v>
      </c>
      <c r="G195" s="91" t="s">
        <v>442</v>
      </c>
      <c r="H195" s="91" t="s">
        <v>442</v>
      </c>
      <c r="I195" s="91" t="s">
        <v>442</v>
      </c>
      <c r="J195" s="91" t="s">
        <v>442</v>
      </c>
      <c r="K195" s="91"/>
      <c r="L195" s="91"/>
      <c r="M195" s="91" t="s">
        <v>442</v>
      </c>
      <c r="N195" s="91"/>
      <c r="O195" s="91" t="s">
        <v>442</v>
      </c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 t="s">
        <v>442</v>
      </c>
      <c r="AA195" s="91"/>
      <c r="AB195" s="91"/>
      <c r="AC195" s="91"/>
      <c r="AD195" s="91"/>
      <c r="AE195" s="8">
        <f t="shared" ref="AE195:AE258" si="3">SUM(B195:F195)/5</f>
        <v>58.2</v>
      </c>
      <c r="AF195" s="29"/>
    </row>
    <row r="196" spans="1:32" ht="16.5">
      <c r="A196" s="3" t="s">
        <v>363</v>
      </c>
      <c r="B196" s="4">
        <v>72</v>
      </c>
      <c r="C196" s="4">
        <v>70</v>
      </c>
      <c r="D196" s="4">
        <v>56</v>
      </c>
      <c r="E196" s="4">
        <v>49</v>
      </c>
      <c r="F196" s="4">
        <v>60</v>
      </c>
      <c r="G196" s="91"/>
      <c r="H196" s="91"/>
      <c r="I196" s="91"/>
      <c r="J196" s="91"/>
      <c r="K196" s="91"/>
      <c r="L196" s="91"/>
      <c r="M196" s="91"/>
      <c r="N196" s="91"/>
      <c r="O196" s="91"/>
      <c r="P196" s="91" t="s">
        <v>442</v>
      </c>
      <c r="Q196" s="91"/>
      <c r="R196" s="91"/>
      <c r="S196" s="91"/>
      <c r="T196" s="91"/>
      <c r="U196" s="91"/>
      <c r="V196" s="91"/>
      <c r="W196" s="91"/>
      <c r="X196" s="91"/>
      <c r="Y196" s="91" t="s">
        <v>442</v>
      </c>
      <c r="Z196" s="91" t="s">
        <v>442</v>
      </c>
      <c r="AA196" s="91"/>
      <c r="AB196" s="91"/>
      <c r="AC196" s="91"/>
      <c r="AD196" s="91"/>
      <c r="AE196" s="8">
        <f t="shared" si="3"/>
        <v>61.4</v>
      </c>
      <c r="AF196" s="29"/>
    </row>
    <row r="197" spans="1:32" ht="16.5">
      <c r="A197" s="3" t="s">
        <v>281</v>
      </c>
      <c r="B197" s="5">
        <v>80</v>
      </c>
      <c r="C197" s="4">
        <v>75</v>
      </c>
      <c r="D197" s="4">
        <v>67</v>
      </c>
      <c r="E197" s="4">
        <v>55</v>
      </c>
      <c r="F197" s="4">
        <v>78</v>
      </c>
      <c r="G197" s="91"/>
      <c r="H197" s="91" t="s">
        <v>442</v>
      </c>
      <c r="I197" s="91"/>
      <c r="J197" s="91"/>
      <c r="K197" s="91"/>
      <c r="L197" s="91"/>
      <c r="M197" s="91"/>
      <c r="N197" s="91"/>
      <c r="O197" s="91" t="s">
        <v>442</v>
      </c>
      <c r="P197" s="91" t="s">
        <v>442</v>
      </c>
      <c r="Q197" s="91"/>
      <c r="R197" s="91"/>
      <c r="S197" s="91"/>
      <c r="T197" s="91" t="s">
        <v>442</v>
      </c>
      <c r="U197" s="91" t="s">
        <v>442</v>
      </c>
      <c r="V197" s="91"/>
      <c r="W197" s="91"/>
      <c r="X197" s="91"/>
      <c r="Y197" s="91" t="s">
        <v>442</v>
      </c>
      <c r="Z197" s="91"/>
      <c r="AA197" s="91"/>
      <c r="AB197" s="91"/>
      <c r="AC197" s="91" t="s">
        <v>442</v>
      </c>
      <c r="AD197" s="91"/>
      <c r="AE197" s="8">
        <f t="shared" si="3"/>
        <v>71</v>
      </c>
      <c r="AF197" s="29"/>
    </row>
    <row r="198" spans="1:32" ht="16.5">
      <c r="A198" s="3" t="s">
        <v>389</v>
      </c>
      <c r="B198" s="4">
        <v>71</v>
      </c>
      <c r="C198" s="4">
        <v>41</v>
      </c>
      <c r="D198" s="4">
        <v>62</v>
      </c>
      <c r="E198" s="5">
        <v>80</v>
      </c>
      <c r="F198" s="4">
        <v>55</v>
      </c>
      <c r="G198" s="91"/>
      <c r="H198" s="91" t="s">
        <v>442</v>
      </c>
      <c r="I198" s="91" t="s">
        <v>442</v>
      </c>
      <c r="J198" s="91" t="s">
        <v>442</v>
      </c>
      <c r="K198" s="91"/>
      <c r="L198" s="91"/>
      <c r="M198" s="91"/>
      <c r="N198" s="91"/>
      <c r="O198" s="91"/>
      <c r="P198" s="91" t="s">
        <v>442</v>
      </c>
      <c r="Q198" s="91"/>
      <c r="R198" s="91"/>
      <c r="S198" s="91"/>
      <c r="T198" s="91"/>
      <c r="U198" s="91"/>
      <c r="V198" s="91" t="s">
        <v>442</v>
      </c>
      <c r="W198" s="91"/>
      <c r="X198" s="91"/>
      <c r="Y198" s="91"/>
      <c r="Z198" s="91"/>
      <c r="AA198" s="91"/>
      <c r="AB198" s="91" t="s">
        <v>442</v>
      </c>
      <c r="AC198" s="91"/>
      <c r="AD198" s="91"/>
      <c r="AE198" s="8">
        <f t="shared" si="3"/>
        <v>61.8</v>
      </c>
      <c r="AF198" s="29"/>
    </row>
    <row r="199" spans="1:32" ht="16.5">
      <c r="A199" s="3" t="s">
        <v>254</v>
      </c>
      <c r="B199" s="4">
        <v>61</v>
      </c>
      <c r="C199" s="4">
        <v>63</v>
      </c>
      <c r="D199" s="4">
        <v>60</v>
      </c>
      <c r="E199" s="4">
        <v>47</v>
      </c>
      <c r="F199" s="4">
        <v>65</v>
      </c>
      <c r="G199" s="91"/>
      <c r="H199" s="91"/>
      <c r="I199" s="91"/>
      <c r="J199" s="91" t="s">
        <v>442</v>
      </c>
      <c r="K199" s="91"/>
      <c r="L199" s="91"/>
      <c r="M199" s="91"/>
      <c r="N199" s="91" t="s">
        <v>442</v>
      </c>
      <c r="O199" s="91"/>
      <c r="P199" s="91" t="s">
        <v>442</v>
      </c>
      <c r="Q199" s="91"/>
      <c r="R199" s="91" t="s">
        <v>442</v>
      </c>
      <c r="S199" s="91"/>
      <c r="T199" s="91" t="s">
        <v>442</v>
      </c>
      <c r="U199" s="91"/>
      <c r="V199" s="91"/>
      <c r="W199" s="91"/>
      <c r="X199" s="91"/>
      <c r="Y199" s="91"/>
      <c r="Z199" s="91"/>
      <c r="AA199" s="91"/>
      <c r="AB199" s="91"/>
      <c r="AC199" s="91" t="s">
        <v>442</v>
      </c>
      <c r="AD199" s="91"/>
      <c r="AE199" s="8">
        <f t="shared" si="3"/>
        <v>59.2</v>
      </c>
      <c r="AF199" s="29"/>
    </row>
    <row r="200" spans="1:32" ht="16.5">
      <c r="A200" s="3" t="s">
        <v>237</v>
      </c>
      <c r="B200" s="4">
        <v>77</v>
      </c>
      <c r="C200" s="4">
        <v>74</v>
      </c>
      <c r="D200" s="4">
        <v>51</v>
      </c>
      <c r="E200" s="4">
        <v>48</v>
      </c>
      <c r="F200" s="4">
        <v>60</v>
      </c>
      <c r="G200" s="91"/>
      <c r="H200" s="91"/>
      <c r="I200" s="91"/>
      <c r="J200" s="91"/>
      <c r="K200" s="91"/>
      <c r="L200" s="91"/>
      <c r="M200" s="91"/>
      <c r="N200" s="91" t="s">
        <v>442</v>
      </c>
      <c r="O200" s="91"/>
      <c r="P200" s="91"/>
      <c r="Q200" s="91"/>
      <c r="R200" s="91" t="s">
        <v>442</v>
      </c>
      <c r="S200" s="91" t="s">
        <v>442</v>
      </c>
      <c r="T200" s="91" t="s">
        <v>442</v>
      </c>
      <c r="U200" s="91"/>
      <c r="V200" s="91"/>
      <c r="W200" s="91"/>
      <c r="X200" s="91"/>
      <c r="Y200" s="91"/>
      <c r="Z200" s="91"/>
      <c r="AA200" s="91"/>
      <c r="AB200" s="91"/>
      <c r="AC200" s="91" t="s">
        <v>442</v>
      </c>
      <c r="AD200" s="91"/>
      <c r="AE200" s="8">
        <f t="shared" si="3"/>
        <v>62</v>
      </c>
      <c r="AF200" s="29" t="s">
        <v>238</v>
      </c>
    </row>
    <row r="201" spans="1:32" ht="16.5">
      <c r="A201" s="3" t="s">
        <v>237</v>
      </c>
      <c r="B201" s="4">
        <v>70</v>
      </c>
      <c r="C201" s="5">
        <v>82</v>
      </c>
      <c r="D201" s="4">
        <v>36</v>
      </c>
      <c r="E201" s="4">
        <v>25</v>
      </c>
      <c r="F201" s="4">
        <v>59</v>
      </c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 t="s">
        <v>442</v>
      </c>
      <c r="V201" s="91" t="s">
        <v>442</v>
      </c>
      <c r="W201" s="91"/>
      <c r="X201" s="91"/>
      <c r="Y201" s="91"/>
      <c r="Z201" s="91"/>
      <c r="AA201" s="91"/>
      <c r="AB201" s="91"/>
      <c r="AC201" s="91" t="s">
        <v>442</v>
      </c>
      <c r="AD201" s="91"/>
      <c r="AE201" s="8">
        <f t="shared" si="3"/>
        <v>54.4</v>
      </c>
      <c r="AF201" s="29" t="s">
        <v>239</v>
      </c>
    </row>
    <row r="202" spans="1:32" ht="16.5">
      <c r="A202" s="3" t="s">
        <v>81</v>
      </c>
      <c r="B202" s="4">
        <v>30</v>
      </c>
      <c r="C202" s="4">
        <v>44</v>
      </c>
      <c r="D202" s="4">
        <v>77</v>
      </c>
      <c r="E202" s="5">
        <v>81</v>
      </c>
      <c r="F202" s="4">
        <v>74</v>
      </c>
      <c r="G202" s="91"/>
      <c r="H202" s="91" t="s">
        <v>442</v>
      </c>
      <c r="I202" s="91" t="s">
        <v>442</v>
      </c>
      <c r="J202" s="91"/>
      <c r="K202" s="91"/>
      <c r="L202" s="91" t="s">
        <v>442</v>
      </c>
      <c r="M202" s="91" t="s">
        <v>442</v>
      </c>
      <c r="N202" s="91"/>
      <c r="O202" s="91" t="s">
        <v>442</v>
      </c>
      <c r="P202" s="91"/>
      <c r="Q202" s="91"/>
      <c r="R202" s="91"/>
      <c r="S202" s="91"/>
      <c r="T202" s="91"/>
      <c r="U202" s="91" t="s">
        <v>442</v>
      </c>
      <c r="V202" s="91"/>
      <c r="W202" s="91"/>
      <c r="X202" s="91"/>
      <c r="Y202" s="91"/>
      <c r="Z202" s="91"/>
      <c r="AA202" s="91"/>
      <c r="AB202" s="91"/>
      <c r="AC202" s="91"/>
      <c r="AD202" s="91"/>
      <c r="AE202" s="8">
        <f t="shared" si="3"/>
        <v>61.2</v>
      </c>
      <c r="AF202" s="29"/>
    </row>
    <row r="203" spans="1:32" ht="16.5">
      <c r="A203" s="3" t="s">
        <v>339</v>
      </c>
      <c r="B203" s="4">
        <v>60</v>
      </c>
      <c r="C203" s="4">
        <v>56</v>
      </c>
      <c r="D203" s="4">
        <v>44</v>
      </c>
      <c r="E203" s="4">
        <v>52</v>
      </c>
      <c r="F203" s="4">
        <v>61</v>
      </c>
      <c r="G203" s="91"/>
      <c r="H203" s="91"/>
      <c r="I203" s="91"/>
      <c r="J203" s="91"/>
      <c r="K203" s="91"/>
      <c r="L203" s="91"/>
      <c r="M203" s="91"/>
      <c r="N203" s="91" t="s">
        <v>442</v>
      </c>
      <c r="O203" s="91"/>
      <c r="P203" s="91"/>
      <c r="Q203" s="91"/>
      <c r="R203" s="91"/>
      <c r="S203" s="91" t="s">
        <v>442</v>
      </c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8">
        <f t="shared" si="3"/>
        <v>54.6</v>
      </c>
      <c r="AF203" s="29"/>
    </row>
    <row r="204" spans="1:32" ht="16.5">
      <c r="A204" s="3" t="s">
        <v>145</v>
      </c>
      <c r="B204" s="4">
        <v>61</v>
      </c>
      <c r="C204" s="4">
        <v>54</v>
      </c>
      <c r="D204" s="4">
        <v>44</v>
      </c>
      <c r="E204" s="4">
        <v>59</v>
      </c>
      <c r="F204" s="4">
        <v>54</v>
      </c>
      <c r="G204" s="91"/>
      <c r="H204" s="91"/>
      <c r="I204" s="91"/>
      <c r="J204" s="91"/>
      <c r="K204" s="91"/>
      <c r="L204" s="91"/>
      <c r="M204" s="91"/>
      <c r="N204" s="91"/>
      <c r="O204" s="91" t="s">
        <v>442</v>
      </c>
      <c r="P204" s="91"/>
      <c r="Q204" s="91"/>
      <c r="R204" s="91"/>
      <c r="S204" s="91"/>
      <c r="T204" s="91" t="s">
        <v>442</v>
      </c>
      <c r="U204" s="91"/>
      <c r="V204" s="91"/>
      <c r="W204" s="91"/>
      <c r="X204" s="91"/>
      <c r="Y204" s="91"/>
      <c r="Z204" s="91"/>
      <c r="AA204" s="91"/>
      <c r="AB204" s="91" t="s">
        <v>442</v>
      </c>
      <c r="AC204" s="91"/>
      <c r="AD204" s="91"/>
      <c r="AE204" s="8">
        <f t="shared" si="3"/>
        <v>54.4</v>
      </c>
      <c r="AF204" s="29"/>
    </row>
    <row r="205" spans="1:32" ht="16.5">
      <c r="A205" s="3" t="s">
        <v>114</v>
      </c>
      <c r="B205" s="4">
        <v>61</v>
      </c>
      <c r="C205" s="4">
        <v>72</v>
      </c>
      <c r="D205" s="4">
        <v>46</v>
      </c>
      <c r="E205" s="4">
        <v>52</v>
      </c>
      <c r="F205" s="4">
        <v>60</v>
      </c>
      <c r="G205" s="91"/>
      <c r="H205" s="91"/>
      <c r="I205" s="91"/>
      <c r="J205" s="91"/>
      <c r="K205" s="91"/>
      <c r="L205" s="91"/>
      <c r="M205" s="91"/>
      <c r="N205" s="91" t="s">
        <v>442</v>
      </c>
      <c r="O205" s="91"/>
      <c r="P205" s="91"/>
      <c r="Q205" s="91" t="s">
        <v>442</v>
      </c>
      <c r="R205" s="91"/>
      <c r="S205" s="91"/>
      <c r="T205" s="91" t="s">
        <v>442</v>
      </c>
      <c r="U205" s="91"/>
      <c r="V205" s="91"/>
      <c r="W205" s="91"/>
      <c r="X205" s="91"/>
      <c r="Y205" s="91"/>
      <c r="Z205" s="91"/>
      <c r="AA205" s="91"/>
      <c r="AB205" s="91"/>
      <c r="AC205" s="91" t="s">
        <v>442</v>
      </c>
      <c r="AD205" s="91"/>
      <c r="AE205" s="8">
        <f t="shared" si="3"/>
        <v>58.2</v>
      </c>
      <c r="AF205" s="29"/>
    </row>
    <row r="206" spans="1:32" ht="16.5">
      <c r="A206" s="3" t="s">
        <v>74</v>
      </c>
      <c r="B206" s="4">
        <v>75</v>
      </c>
      <c r="C206" s="5">
        <v>80</v>
      </c>
      <c r="D206" s="4">
        <v>72</v>
      </c>
      <c r="E206" s="4">
        <v>52</v>
      </c>
      <c r="F206" s="5">
        <v>80</v>
      </c>
      <c r="G206" s="91"/>
      <c r="H206" s="91" t="s">
        <v>442</v>
      </c>
      <c r="I206" s="91" t="s">
        <v>442</v>
      </c>
      <c r="J206" s="91"/>
      <c r="K206" s="91"/>
      <c r="L206" s="91"/>
      <c r="M206" s="91"/>
      <c r="N206" s="91"/>
      <c r="O206" s="91"/>
      <c r="P206" s="91" t="s">
        <v>442</v>
      </c>
      <c r="Q206" s="91"/>
      <c r="R206" s="91"/>
      <c r="S206" s="91"/>
      <c r="T206" s="91"/>
      <c r="U206" s="91"/>
      <c r="V206" s="91"/>
      <c r="W206" s="91"/>
      <c r="X206" s="91"/>
      <c r="Y206" s="91" t="s">
        <v>442</v>
      </c>
      <c r="Z206" s="91"/>
      <c r="AA206" s="91"/>
      <c r="AB206" s="91" t="s">
        <v>442</v>
      </c>
      <c r="AC206" s="91"/>
      <c r="AD206" s="91"/>
      <c r="AE206" s="8">
        <f t="shared" si="3"/>
        <v>71.8</v>
      </c>
      <c r="AF206" s="29"/>
    </row>
    <row r="207" spans="1:32" ht="16.5">
      <c r="A207" s="3" t="s">
        <v>92</v>
      </c>
      <c r="B207" s="4">
        <v>78</v>
      </c>
      <c r="C207" s="4">
        <v>63</v>
      </c>
      <c r="D207" s="4">
        <v>67</v>
      </c>
      <c r="E207" s="4">
        <v>61</v>
      </c>
      <c r="F207" s="4">
        <v>55</v>
      </c>
      <c r="G207" s="91"/>
      <c r="H207" s="91"/>
      <c r="I207" s="91"/>
      <c r="J207" s="91"/>
      <c r="K207" s="91"/>
      <c r="L207" s="91" t="s">
        <v>442</v>
      </c>
      <c r="M207" s="91"/>
      <c r="N207" s="91"/>
      <c r="O207" s="91"/>
      <c r="P207" s="91"/>
      <c r="Q207" s="91"/>
      <c r="R207" s="91"/>
      <c r="S207" s="91"/>
      <c r="T207" s="91" t="s">
        <v>442</v>
      </c>
      <c r="U207" s="91"/>
      <c r="V207" s="91" t="s">
        <v>442</v>
      </c>
      <c r="W207" s="91"/>
      <c r="X207" s="91"/>
      <c r="Y207" s="91"/>
      <c r="Z207" s="91"/>
      <c r="AA207" s="91"/>
      <c r="AB207" s="91"/>
      <c r="AC207" s="91"/>
      <c r="AD207" s="91"/>
      <c r="AE207" s="8">
        <f t="shared" si="3"/>
        <v>64.8</v>
      </c>
      <c r="AF207" s="29"/>
    </row>
    <row r="208" spans="1:32" ht="16.5">
      <c r="A208" s="3" t="s">
        <v>147</v>
      </c>
      <c r="B208" s="4">
        <v>27</v>
      </c>
      <c r="C208" s="4">
        <v>24</v>
      </c>
      <c r="D208" s="4">
        <v>60</v>
      </c>
      <c r="E208" s="4">
        <v>63</v>
      </c>
      <c r="F208" s="4">
        <v>65</v>
      </c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 t="s">
        <v>442</v>
      </c>
      <c r="U208" s="91" t="s">
        <v>442</v>
      </c>
      <c r="V208" s="91"/>
      <c r="W208" s="91"/>
      <c r="X208" s="91"/>
      <c r="Y208" s="91"/>
      <c r="Z208" s="91"/>
      <c r="AA208" s="91"/>
      <c r="AB208" s="91"/>
      <c r="AC208" s="91"/>
      <c r="AD208" s="91"/>
      <c r="AE208" s="8">
        <f t="shared" si="3"/>
        <v>47.8</v>
      </c>
      <c r="AF208" s="29"/>
    </row>
    <row r="209" spans="1:32" ht="16.5">
      <c r="A209" s="3" t="s">
        <v>119</v>
      </c>
      <c r="B209" s="4">
        <v>70</v>
      </c>
      <c r="C209" s="4">
        <v>54</v>
      </c>
      <c r="D209" s="4">
        <v>65</v>
      </c>
      <c r="E209" s="4">
        <v>64</v>
      </c>
      <c r="F209" s="4">
        <v>53</v>
      </c>
      <c r="G209" s="91"/>
      <c r="H209" s="91"/>
      <c r="I209" s="91"/>
      <c r="J209" s="91"/>
      <c r="K209" s="91"/>
      <c r="L209" s="91"/>
      <c r="M209" s="91"/>
      <c r="N209" s="91"/>
      <c r="O209" s="91"/>
      <c r="P209" s="91" t="s">
        <v>442</v>
      </c>
      <c r="Q209" s="91"/>
      <c r="R209" s="91"/>
      <c r="S209" s="91"/>
      <c r="T209" s="91" t="s">
        <v>442</v>
      </c>
      <c r="U209" s="91"/>
      <c r="V209" s="91"/>
      <c r="W209" s="91"/>
      <c r="X209" s="91"/>
      <c r="Y209" s="91" t="s">
        <v>442</v>
      </c>
      <c r="Z209" s="91"/>
      <c r="AA209" s="91"/>
      <c r="AB209" s="91" t="s">
        <v>442</v>
      </c>
      <c r="AC209" s="91"/>
      <c r="AD209" s="91"/>
      <c r="AE209" s="8">
        <f t="shared" si="3"/>
        <v>61.2</v>
      </c>
      <c r="AF209" s="29"/>
    </row>
    <row r="210" spans="1:32" ht="16.5">
      <c r="A210" s="3" t="s">
        <v>375</v>
      </c>
      <c r="B210" s="4">
        <v>62</v>
      </c>
      <c r="C210" s="4">
        <v>73</v>
      </c>
      <c r="D210" s="4">
        <v>21</v>
      </c>
      <c r="E210" s="4">
        <v>16</v>
      </c>
      <c r="F210" s="4">
        <v>31</v>
      </c>
      <c r="G210" s="91"/>
      <c r="H210" s="91"/>
      <c r="I210" s="91"/>
      <c r="J210" s="91"/>
      <c r="K210" s="91"/>
      <c r="L210" s="91"/>
      <c r="M210" s="91"/>
      <c r="N210" s="91"/>
      <c r="O210" s="91"/>
      <c r="P210" s="91" t="s">
        <v>442</v>
      </c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 t="s">
        <v>442</v>
      </c>
      <c r="AD210" s="91"/>
      <c r="AE210" s="8">
        <f t="shared" si="3"/>
        <v>40.6</v>
      </c>
      <c r="AF210" s="29"/>
    </row>
    <row r="211" spans="1:32" ht="16.5">
      <c r="A211" s="3" t="s">
        <v>202</v>
      </c>
      <c r="B211" s="4">
        <v>61</v>
      </c>
      <c r="C211" s="4">
        <v>74</v>
      </c>
      <c r="D211" s="4">
        <v>44</v>
      </c>
      <c r="E211" s="4">
        <v>39</v>
      </c>
      <c r="F211" s="4">
        <v>40</v>
      </c>
      <c r="G211" s="91"/>
      <c r="H211" s="91"/>
      <c r="I211" s="91"/>
      <c r="J211" s="91"/>
      <c r="K211" s="91"/>
      <c r="L211" s="91"/>
      <c r="M211" s="91"/>
      <c r="N211" s="91" t="s">
        <v>442</v>
      </c>
      <c r="O211" s="91"/>
      <c r="P211" s="91"/>
      <c r="Q211" s="91"/>
      <c r="R211" s="91"/>
      <c r="S211" s="91"/>
      <c r="T211" s="91" t="s">
        <v>442</v>
      </c>
      <c r="U211" s="91"/>
      <c r="V211" s="91"/>
      <c r="W211" s="91"/>
      <c r="X211" s="91"/>
      <c r="Y211" s="91" t="s">
        <v>442</v>
      </c>
      <c r="Z211" s="91"/>
      <c r="AA211" s="91"/>
      <c r="AB211" s="91"/>
      <c r="AC211" s="91"/>
      <c r="AD211" s="91"/>
      <c r="AE211" s="8">
        <f t="shared" si="3"/>
        <v>51.6</v>
      </c>
      <c r="AF211" s="29"/>
    </row>
    <row r="212" spans="1:32" ht="16.5">
      <c r="A212" s="3" t="s">
        <v>230</v>
      </c>
      <c r="B212" s="5">
        <v>80</v>
      </c>
      <c r="C212" s="6">
        <v>94</v>
      </c>
      <c r="D212" s="4">
        <v>45</v>
      </c>
      <c r="E212" s="4">
        <v>35</v>
      </c>
      <c r="F212" s="4">
        <v>41</v>
      </c>
      <c r="G212" s="91"/>
      <c r="H212" s="91"/>
      <c r="I212" s="91"/>
      <c r="J212" s="91"/>
      <c r="K212" s="91"/>
      <c r="L212" s="91"/>
      <c r="M212" s="91"/>
      <c r="N212" s="91" t="s">
        <v>442</v>
      </c>
      <c r="O212" s="91"/>
      <c r="P212" s="91"/>
      <c r="Q212" s="91" t="s">
        <v>442</v>
      </c>
      <c r="R212" s="91" t="s">
        <v>442</v>
      </c>
      <c r="S212" s="91"/>
      <c r="T212" s="91" t="s">
        <v>442</v>
      </c>
      <c r="U212" s="91" t="s">
        <v>442</v>
      </c>
      <c r="V212" s="91"/>
      <c r="W212" s="91"/>
      <c r="X212" s="91"/>
      <c r="Y212" s="91"/>
      <c r="Z212" s="91"/>
      <c r="AA212" s="91"/>
      <c r="AB212" s="91"/>
      <c r="AC212" s="91" t="s">
        <v>442</v>
      </c>
      <c r="AD212" s="91"/>
      <c r="AE212" s="8">
        <f t="shared" si="3"/>
        <v>59</v>
      </c>
      <c r="AF212" s="29"/>
    </row>
    <row r="213" spans="1:32" ht="16.5">
      <c r="A213" s="3" t="s">
        <v>251</v>
      </c>
      <c r="B213" s="4">
        <v>47</v>
      </c>
      <c r="C213" s="4">
        <v>13</v>
      </c>
      <c r="D213" s="4">
        <v>73</v>
      </c>
      <c r="E213" s="4">
        <v>61</v>
      </c>
      <c r="F213" s="4">
        <v>68</v>
      </c>
      <c r="G213" s="91" t="s">
        <v>442</v>
      </c>
      <c r="H213" s="91" t="s">
        <v>442</v>
      </c>
      <c r="I213" s="91"/>
      <c r="J213" s="91" t="s">
        <v>442</v>
      </c>
      <c r="K213" s="91"/>
      <c r="L213" s="91"/>
      <c r="M213" s="91"/>
      <c r="N213" s="91"/>
      <c r="O213" s="91"/>
      <c r="P213" s="91"/>
      <c r="Q213" s="91"/>
      <c r="R213" s="91"/>
      <c r="S213" s="91" t="s">
        <v>442</v>
      </c>
      <c r="T213" s="91"/>
      <c r="U213" s="91"/>
      <c r="V213" s="91"/>
      <c r="W213" s="91"/>
      <c r="X213" s="91"/>
      <c r="Y213" s="91"/>
      <c r="Z213" s="91"/>
      <c r="AA213" s="91"/>
      <c r="AB213" s="91" t="s">
        <v>442</v>
      </c>
      <c r="AC213" s="91"/>
      <c r="AD213" s="91"/>
      <c r="AE213" s="8">
        <f t="shared" si="3"/>
        <v>52.4</v>
      </c>
      <c r="AF213" s="29"/>
    </row>
    <row r="214" spans="1:32" ht="16.5">
      <c r="A214" s="3" t="s">
        <v>213</v>
      </c>
      <c r="B214" s="4">
        <v>58</v>
      </c>
      <c r="C214" s="4">
        <v>63</v>
      </c>
      <c r="D214" s="4">
        <v>44</v>
      </c>
      <c r="E214" s="4">
        <v>30</v>
      </c>
      <c r="F214" s="4">
        <v>19</v>
      </c>
      <c r="G214" s="91"/>
      <c r="H214" s="91"/>
      <c r="I214" s="91"/>
      <c r="J214" s="91"/>
      <c r="K214" s="91"/>
      <c r="L214" s="91"/>
      <c r="M214" s="91" t="s">
        <v>442</v>
      </c>
      <c r="N214" s="91"/>
      <c r="O214" s="91"/>
      <c r="P214" s="91"/>
      <c r="Q214" s="91" t="s">
        <v>442</v>
      </c>
      <c r="R214" s="91"/>
      <c r="S214" s="91"/>
      <c r="T214" s="91" t="s">
        <v>442</v>
      </c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8">
        <f t="shared" si="3"/>
        <v>42.8</v>
      </c>
      <c r="AF214" s="29"/>
    </row>
    <row r="215" spans="1:32" ht="16.5">
      <c r="A215" s="3" t="s">
        <v>140</v>
      </c>
      <c r="B215" s="4">
        <v>44</v>
      </c>
      <c r="C215" s="4">
        <v>53</v>
      </c>
      <c r="D215" s="4">
        <v>55</v>
      </c>
      <c r="E215" s="4">
        <v>62</v>
      </c>
      <c r="F215" s="4">
        <v>64</v>
      </c>
      <c r="G215" s="91"/>
      <c r="H215" s="91"/>
      <c r="I215" s="91"/>
      <c r="J215" s="91"/>
      <c r="K215" s="91"/>
      <c r="L215" s="91"/>
      <c r="M215" s="91"/>
      <c r="N215" s="91"/>
      <c r="O215" s="91"/>
      <c r="P215" s="91" t="s">
        <v>442</v>
      </c>
      <c r="Q215" s="91"/>
      <c r="R215" s="91"/>
      <c r="S215" s="91"/>
      <c r="T215" s="91"/>
      <c r="U215" s="91" t="s">
        <v>442</v>
      </c>
      <c r="V215" s="91"/>
      <c r="W215" s="91"/>
      <c r="X215" s="91"/>
      <c r="Y215" s="91"/>
      <c r="Z215" s="91"/>
      <c r="AA215" s="91"/>
      <c r="AB215" s="91" t="s">
        <v>442</v>
      </c>
      <c r="AC215" s="91"/>
      <c r="AD215" s="91"/>
      <c r="AE215" s="8">
        <f t="shared" si="3"/>
        <v>55.6</v>
      </c>
      <c r="AF215" s="29"/>
    </row>
    <row r="216" spans="1:32" ht="16.5">
      <c r="A216" s="3" t="s">
        <v>407</v>
      </c>
      <c r="B216" s="4">
        <v>59</v>
      </c>
      <c r="C216" s="4">
        <v>67</v>
      </c>
      <c r="D216" s="4">
        <v>61</v>
      </c>
      <c r="E216" s="4">
        <v>42</v>
      </c>
      <c r="F216" s="4">
        <v>55</v>
      </c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 t="s">
        <v>442</v>
      </c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8">
        <f t="shared" si="3"/>
        <v>56.8</v>
      </c>
      <c r="AF216" s="29"/>
    </row>
    <row r="217" spans="1:32" ht="16.5">
      <c r="A217" s="3" t="s">
        <v>402</v>
      </c>
      <c r="B217" s="4">
        <v>43</v>
      </c>
      <c r="C217" s="4">
        <v>48</v>
      </c>
      <c r="D217" s="4">
        <v>61</v>
      </c>
      <c r="E217" s="4">
        <v>67</v>
      </c>
      <c r="F217" s="4">
        <v>68</v>
      </c>
      <c r="G217" s="91"/>
      <c r="H217" s="91" t="s">
        <v>442</v>
      </c>
      <c r="I217" s="91"/>
      <c r="J217" s="91" t="s">
        <v>442</v>
      </c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8">
        <f t="shared" si="3"/>
        <v>57.4</v>
      </c>
      <c r="AF217" s="29"/>
    </row>
    <row r="218" spans="1:32" ht="16.5">
      <c r="A218" s="3" t="s">
        <v>295</v>
      </c>
      <c r="B218" s="4">
        <v>60</v>
      </c>
      <c r="C218" s="4">
        <v>67</v>
      </c>
      <c r="D218" s="4">
        <v>57</v>
      </c>
      <c r="E218" s="4">
        <v>51</v>
      </c>
      <c r="F218" s="4">
        <v>60</v>
      </c>
      <c r="G218" s="91"/>
      <c r="H218" s="91"/>
      <c r="I218" s="91"/>
      <c r="J218" s="91"/>
      <c r="K218" s="91"/>
      <c r="L218" s="91"/>
      <c r="M218" s="91"/>
      <c r="N218" s="91" t="s">
        <v>442</v>
      </c>
      <c r="O218" s="91"/>
      <c r="P218" s="91"/>
      <c r="Q218" s="91"/>
      <c r="R218" s="91" t="s">
        <v>442</v>
      </c>
      <c r="S218" s="91"/>
      <c r="T218" s="91" t="s">
        <v>442</v>
      </c>
      <c r="U218" s="91" t="s">
        <v>442</v>
      </c>
      <c r="V218" s="91"/>
      <c r="W218" s="91"/>
      <c r="X218" s="91"/>
      <c r="Y218" s="91"/>
      <c r="Z218" s="91"/>
      <c r="AA218" s="91"/>
      <c r="AB218" s="91" t="s">
        <v>442</v>
      </c>
      <c r="AC218" s="91"/>
      <c r="AD218" s="91"/>
      <c r="AE218" s="8">
        <f t="shared" si="3"/>
        <v>59</v>
      </c>
      <c r="AF218" s="29"/>
    </row>
    <row r="219" spans="1:32" ht="16.5">
      <c r="A219" s="3" t="s">
        <v>33</v>
      </c>
      <c r="B219" s="4">
        <v>60</v>
      </c>
      <c r="C219" s="4">
        <v>72</v>
      </c>
      <c r="D219" s="4">
        <v>76</v>
      </c>
      <c r="E219" s="5">
        <v>85</v>
      </c>
      <c r="F219" s="6">
        <v>99</v>
      </c>
      <c r="G219" s="91" t="s">
        <v>442</v>
      </c>
      <c r="H219" s="91"/>
      <c r="I219" s="91" t="s">
        <v>442</v>
      </c>
      <c r="J219" s="91" t="s">
        <v>442</v>
      </c>
      <c r="K219" s="91"/>
      <c r="L219" s="91" t="s">
        <v>442</v>
      </c>
      <c r="M219" s="91"/>
      <c r="N219" s="91" t="s">
        <v>442</v>
      </c>
      <c r="O219" s="91"/>
      <c r="P219" s="91" t="s">
        <v>442</v>
      </c>
      <c r="Q219" s="91"/>
      <c r="R219" s="91"/>
      <c r="S219" s="91"/>
      <c r="T219" s="91" t="s">
        <v>442</v>
      </c>
      <c r="U219" s="91"/>
      <c r="V219" s="91" t="s">
        <v>442</v>
      </c>
      <c r="W219" s="91"/>
      <c r="X219" s="91"/>
      <c r="Y219" s="91"/>
      <c r="Z219" s="91"/>
      <c r="AA219" s="91"/>
      <c r="AB219" s="91" t="s">
        <v>442</v>
      </c>
      <c r="AC219" s="91" t="s">
        <v>442</v>
      </c>
      <c r="AD219" s="91" t="s">
        <v>442</v>
      </c>
      <c r="AE219" s="8">
        <f t="shared" si="3"/>
        <v>78.400000000000006</v>
      </c>
      <c r="AF219" s="29"/>
    </row>
    <row r="220" spans="1:32" ht="16.5">
      <c r="A220" s="3" t="s">
        <v>342</v>
      </c>
      <c r="B220" s="4">
        <v>20</v>
      </c>
      <c r="C220" s="4">
        <v>13</v>
      </c>
      <c r="D220" s="4">
        <v>17</v>
      </c>
      <c r="E220" s="4">
        <v>36</v>
      </c>
      <c r="F220" s="4">
        <v>70</v>
      </c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 t="s">
        <v>442</v>
      </c>
      <c r="AE220" s="8">
        <f t="shared" si="3"/>
        <v>31.2</v>
      </c>
      <c r="AF220" s="29"/>
    </row>
    <row r="221" spans="1:32" ht="16.5">
      <c r="A221" s="3" t="s">
        <v>292</v>
      </c>
      <c r="B221" s="4">
        <v>72</v>
      </c>
      <c r="C221" s="4">
        <v>58</v>
      </c>
      <c r="D221" s="4">
        <v>51</v>
      </c>
      <c r="E221" s="4">
        <v>45</v>
      </c>
      <c r="F221" s="4">
        <v>60</v>
      </c>
      <c r="G221" s="91"/>
      <c r="H221" s="91" t="s">
        <v>442</v>
      </c>
      <c r="I221" s="91"/>
      <c r="J221" s="91"/>
      <c r="K221" s="91"/>
      <c r="L221" s="91"/>
      <c r="M221" s="91"/>
      <c r="N221" s="91"/>
      <c r="O221" s="91"/>
      <c r="P221" s="91"/>
      <c r="Q221" s="91" t="s">
        <v>442</v>
      </c>
      <c r="R221" s="91"/>
      <c r="S221" s="91"/>
      <c r="T221" s="91" t="s">
        <v>442</v>
      </c>
      <c r="U221" s="91" t="s">
        <v>442</v>
      </c>
      <c r="V221" s="91"/>
      <c r="W221" s="91"/>
      <c r="X221" s="91"/>
      <c r="Y221" s="91"/>
      <c r="Z221" s="91"/>
      <c r="AA221" s="91"/>
      <c r="AB221" s="91" t="s">
        <v>442</v>
      </c>
      <c r="AC221" s="91"/>
      <c r="AD221" s="91"/>
      <c r="AE221" s="8">
        <f t="shared" si="3"/>
        <v>57.2</v>
      </c>
      <c r="AF221" s="29"/>
    </row>
    <row r="222" spans="1:32" ht="16.5">
      <c r="A222" s="3" t="s">
        <v>82</v>
      </c>
      <c r="B222" s="4">
        <v>36</v>
      </c>
      <c r="C222" s="4">
        <v>42</v>
      </c>
      <c r="D222" s="4">
        <v>72</v>
      </c>
      <c r="E222" s="5">
        <v>82</v>
      </c>
      <c r="F222" s="5">
        <v>84</v>
      </c>
      <c r="G222" s="91"/>
      <c r="H222" s="91"/>
      <c r="I222" s="91" t="s">
        <v>442</v>
      </c>
      <c r="J222" s="91" t="s">
        <v>442</v>
      </c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8">
        <f t="shared" si="3"/>
        <v>63.2</v>
      </c>
      <c r="AF222" s="29"/>
    </row>
    <row r="223" spans="1:32" ht="16.5">
      <c r="A223" s="3" t="s">
        <v>180</v>
      </c>
      <c r="B223" s="4">
        <v>56</v>
      </c>
      <c r="C223" s="4">
        <v>33</v>
      </c>
      <c r="D223" s="5">
        <v>83</v>
      </c>
      <c r="E223" s="4">
        <v>76</v>
      </c>
      <c r="F223" s="4">
        <v>79</v>
      </c>
      <c r="G223" s="91"/>
      <c r="H223" s="91" t="s">
        <v>442</v>
      </c>
      <c r="I223" s="91" t="s">
        <v>442</v>
      </c>
      <c r="J223" s="91" t="s">
        <v>442</v>
      </c>
      <c r="K223" s="91" t="s">
        <v>442</v>
      </c>
      <c r="L223" s="91" t="s">
        <v>442</v>
      </c>
      <c r="M223" s="91"/>
      <c r="N223" s="91"/>
      <c r="O223" s="91" t="s">
        <v>442</v>
      </c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 t="s">
        <v>442</v>
      </c>
      <c r="AA223" s="91"/>
      <c r="AB223" s="91" t="s">
        <v>442</v>
      </c>
      <c r="AC223" s="91"/>
      <c r="AD223" s="91"/>
      <c r="AE223" s="8">
        <f t="shared" si="3"/>
        <v>65.400000000000006</v>
      </c>
      <c r="AF223" s="29"/>
    </row>
    <row r="224" spans="1:32" ht="16.5">
      <c r="A224" s="3" t="s">
        <v>400</v>
      </c>
      <c r="B224" s="4">
        <v>46</v>
      </c>
      <c r="C224" s="4">
        <v>53</v>
      </c>
      <c r="D224" s="4">
        <v>64</v>
      </c>
      <c r="E224" s="4">
        <v>69</v>
      </c>
      <c r="F224" s="4">
        <v>60</v>
      </c>
      <c r="G224" s="91"/>
      <c r="H224" s="91" t="s">
        <v>442</v>
      </c>
      <c r="I224" s="91"/>
      <c r="J224" s="91" t="s">
        <v>442</v>
      </c>
      <c r="K224" s="91"/>
      <c r="L224" s="91"/>
      <c r="M224" s="91"/>
      <c r="N224" s="91"/>
      <c r="O224" s="91"/>
      <c r="P224" s="91"/>
      <c r="Q224" s="91"/>
      <c r="R224" s="91"/>
      <c r="S224" s="91"/>
      <c r="T224" s="91" t="s">
        <v>442</v>
      </c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8">
        <f t="shared" si="3"/>
        <v>58.4</v>
      </c>
      <c r="AF224" s="29"/>
    </row>
    <row r="225" spans="1:32" ht="16.5">
      <c r="A225" s="3" t="s">
        <v>164</v>
      </c>
      <c r="B225" s="4">
        <v>19</v>
      </c>
      <c r="C225" s="4">
        <v>15</v>
      </c>
      <c r="D225" s="4">
        <v>40</v>
      </c>
      <c r="E225" s="4">
        <v>54</v>
      </c>
      <c r="F225" s="4">
        <v>23</v>
      </c>
      <c r="G225" s="91"/>
      <c r="H225" s="91"/>
      <c r="I225" s="91"/>
      <c r="J225" s="91"/>
      <c r="K225" s="91"/>
      <c r="L225" s="91" t="s">
        <v>442</v>
      </c>
      <c r="M225" s="91"/>
      <c r="N225" s="91"/>
      <c r="O225" s="91"/>
      <c r="P225" s="91"/>
      <c r="Q225" s="91"/>
      <c r="R225" s="91"/>
      <c r="S225" s="91"/>
      <c r="T225" s="91"/>
      <c r="U225" s="91" t="s">
        <v>442</v>
      </c>
      <c r="V225" s="91"/>
      <c r="W225" s="91"/>
      <c r="X225" s="91"/>
      <c r="Y225" s="91"/>
      <c r="Z225" s="91"/>
      <c r="AA225" s="91"/>
      <c r="AB225" s="91"/>
      <c r="AC225" s="91" t="s">
        <v>442</v>
      </c>
      <c r="AD225" s="91"/>
      <c r="AE225" s="8">
        <f t="shared" si="3"/>
        <v>30.2</v>
      </c>
      <c r="AF225" s="29"/>
    </row>
    <row r="226" spans="1:32" ht="16.5">
      <c r="A226" s="3" t="s">
        <v>89</v>
      </c>
      <c r="B226" s="4">
        <v>48</v>
      </c>
      <c r="C226" s="4">
        <v>53</v>
      </c>
      <c r="D226" s="4">
        <v>50</v>
      </c>
      <c r="E226" s="4">
        <v>63</v>
      </c>
      <c r="F226" s="5">
        <v>82</v>
      </c>
      <c r="G226" s="91"/>
      <c r="H226" s="91"/>
      <c r="I226" s="91" t="s">
        <v>442</v>
      </c>
      <c r="J226" s="91" t="s">
        <v>442</v>
      </c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 t="s">
        <v>442</v>
      </c>
      <c r="AC226" s="91"/>
      <c r="AD226" s="91"/>
      <c r="AE226" s="8">
        <f t="shared" si="3"/>
        <v>59.2</v>
      </c>
      <c r="AF226" s="29"/>
    </row>
    <row r="227" spans="1:32" ht="16.5">
      <c r="A227" s="3" t="s">
        <v>261</v>
      </c>
      <c r="B227" s="4">
        <v>46</v>
      </c>
      <c r="C227" s="4">
        <v>56</v>
      </c>
      <c r="D227" s="4">
        <v>49</v>
      </c>
      <c r="E227" s="4">
        <v>62</v>
      </c>
      <c r="F227" s="4">
        <v>51</v>
      </c>
      <c r="G227" s="91"/>
      <c r="H227" s="91"/>
      <c r="I227" s="91" t="s">
        <v>442</v>
      </c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 t="s">
        <v>442</v>
      </c>
      <c r="V227" s="91"/>
      <c r="W227" s="91"/>
      <c r="X227" s="91"/>
      <c r="Y227" s="91"/>
      <c r="Z227" s="91"/>
      <c r="AA227" s="91"/>
      <c r="AB227" s="91"/>
      <c r="AC227" s="91"/>
      <c r="AD227" s="91"/>
      <c r="AE227" s="8">
        <f t="shared" si="3"/>
        <v>52.8</v>
      </c>
      <c r="AF227" s="29"/>
    </row>
    <row r="228" spans="1:32" ht="16.5">
      <c r="A228" s="3" t="s">
        <v>200</v>
      </c>
      <c r="B228" s="4">
        <v>51</v>
      </c>
      <c r="C228" s="4">
        <v>55</v>
      </c>
      <c r="D228" s="4">
        <v>70</v>
      </c>
      <c r="E228" s="4">
        <v>63</v>
      </c>
      <c r="F228" s="4">
        <v>49</v>
      </c>
      <c r="G228" s="91" t="s">
        <v>442</v>
      </c>
      <c r="H228" s="91" t="s">
        <v>442</v>
      </c>
      <c r="I228" s="91"/>
      <c r="J228" s="91" t="s">
        <v>442</v>
      </c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 t="s">
        <v>442</v>
      </c>
      <c r="V228" s="91"/>
      <c r="W228" s="91"/>
      <c r="X228" s="91"/>
      <c r="Y228" s="91"/>
      <c r="Z228" s="91"/>
      <c r="AA228" s="91"/>
      <c r="AB228" s="91" t="s">
        <v>442</v>
      </c>
      <c r="AC228" s="91"/>
      <c r="AD228" s="91"/>
      <c r="AE228" s="8">
        <f t="shared" si="3"/>
        <v>57.6</v>
      </c>
      <c r="AF228" s="29"/>
    </row>
    <row r="229" spans="1:32" ht="16.5">
      <c r="A229" s="3" t="s">
        <v>99</v>
      </c>
      <c r="B229" s="4">
        <v>70</v>
      </c>
      <c r="C229" s="4">
        <v>65</v>
      </c>
      <c r="D229" s="4">
        <v>69</v>
      </c>
      <c r="E229" s="4">
        <v>74</v>
      </c>
      <c r="F229" s="4">
        <v>68</v>
      </c>
      <c r="G229" s="91"/>
      <c r="H229" s="91" t="s">
        <v>442</v>
      </c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 t="s">
        <v>442</v>
      </c>
      <c r="V229" s="91"/>
      <c r="W229" s="91"/>
      <c r="X229" s="91"/>
      <c r="Y229" s="91"/>
      <c r="Z229" s="91" t="s">
        <v>442</v>
      </c>
      <c r="AA229" s="91"/>
      <c r="AB229" s="91" t="s">
        <v>442</v>
      </c>
      <c r="AC229" s="91"/>
      <c r="AD229" s="91"/>
      <c r="AE229" s="8">
        <f t="shared" si="3"/>
        <v>69.2</v>
      </c>
      <c r="AF229" s="29"/>
    </row>
    <row r="230" spans="1:32" ht="16.5">
      <c r="A230" s="3" t="s">
        <v>144</v>
      </c>
      <c r="B230" s="4">
        <v>47</v>
      </c>
      <c r="C230" s="4">
        <v>59</v>
      </c>
      <c r="D230" s="4">
        <v>57</v>
      </c>
      <c r="E230" s="4">
        <v>64</v>
      </c>
      <c r="F230" s="4">
        <v>49</v>
      </c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 t="s">
        <v>442</v>
      </c>
      <c r="U230" s="91"/>
      <c r="V230" s="91"/>
      <c r="W230" s="91"/>
      <c r="X230" s="91"/>
      <c r="Y230" s="91"/>
      <c r="Z230" s="91"/>
      <c r="AA230" s="91"/>
      <c r="AB230" s="91" t="s">
        <v>442</v>
      </c>
      <c r="AC230" s="91"/>
      <c r="AD230" s="91"/>
      <c r="AE230" s="8">
        <f t="shared" si="3"/>
        <v>55.2</v>
      </c>
      <c r="AF230" s="29"/>
    </row>
    <row r="231" spans="1:32" ht="16.5">
      <c r="A231" s="3" t="s">
        <v>272</v>
      </c>
      <c r="B231" s="6">
        <v>96</v>
      </c>
      <c r="C231" s="4">
        <v>79</v>
      </c>
      <c r="D231" s="6">
        <v>97</v>
      </c>
      <c r="E231" s="5">
        <v>87</v>
      </c>
      <c r="F231" s="6">
        <v>95</v>
      </c>
      <c r="G231" s="91" t="s">
        <v>442</v>
      </c>
      <c r="H231" s="91" t="s">
        <v>442</v>
      </c>
      <c r="I231" s="91"/>
      <c r="J231" s="91" t="s">
        <v>442</v>
      </c>
      <c r="K231" s="91" t="s">
        <v>442</v>
      </c>
      <c r="L231" s="91" t="s">
        <v>442</v>
      </c>
      <c r="M231" s="91"/>
      <c r="N231" s="91" t="s">
        <v>442</v>
      </c>
      <c r="O231" s="91" t="s">
        <v>442</v>
      </c>
      <c r="P231" s="91" t="s">
        <v>442</v>
      </c>
      <c r="Q231" s="91"/>
      <c r="R231" s="91" t="s">
        <v>442</v>
      </c>
      <c r="S231" s="91" t="s">
        <v>442</v>
      </c>
      <c r="T231" s="91" t="s">
        <v>442</v>
      </c>
      <c r="U231" s="91"/>
      <c r="V231" s="91" t="s">
        <v>442</v>
      </c>
      <c r="W231" s="91"/>
      <c r="X231" s="91"/>
      <c r="Y231" s="91" t="s">
        <v>442</v>
      </c>
      <c r="Z231" s="91" t="s">
        <v>442</v>
      </c>
      <c r="AA231" s="91"/>
      <c r="AB231" s="91" t="s">
        <v>442</v>
      </c>
      <c r="AC231" s="91"/>
      <c r="AD231" s="91" t="s">
        <v>442</v>
      </c>
      <c r="AE231" s="8">
        <f t="shared" si="3"/>
        <v>90.8</v>
      </c>
      <c r="AF231" s="29"/>
    </row>
    <row r="232" spans="1:32" ht="16.5">
      <c r="A232" s="3" t="s">
        <v>259</v>
      </c>
      <c r="B232" s="4">
        <v>30</v>
      </c>
      <c r="C232" s="4">
        <v>22</v>
      </c>
      <c r="D232" s="4">
        <v>67</v>
      </c>
      <c r="E232" s="4">
        <v>53</v>
      </c>
      <c r="F232" s="4">
        <v>64</v>
      </c>
      <c r="G232" s="91"/>
      <c r="H232" s="91"/>
      <c r="I232" s="91" t="s">
        <v>442</v>
      </c>
      <c r="J232" s="91"/>
      <c r="K232" s="91"/>
      <c r="L232" s="91"/>
      <c r="M232" s="91" t="s">
        <v>442</v>
      </c>
      <c r="N232" s="91"/>
      <c r="O232" s="91"/>
      <c r="P232" s="91"/>
      <c r="Q232" s="91"/>
      <c r="R232" s="91"/>
      <c r="S232" s="91" t="s">
        <v>442</v>
      </c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8">
        <f t="shared" si="3"/>
        <v>47.2</v>
      </c>
      <c r="AF232" s="29"/>
    </row>
    <row r="233" spans="1:32" ht="16.5">
      <c r="A233" s="3" t="s">
        <v>395</v>
      </c>
      <c r="B233" s="4">
        <v>50</v>
      </c>
      <c r="C233" s="4">
        <v>61</v>
      </c>
      <c r="D233" s="4">
        <v>72</v>
      </c>
      <c r="E233" s="4">
        <v>65</v>
      </c>
      <c r="F233" s="4">
        <v>40</v>
      </c>
      <c r="G233" s="91" t="s">
        <v>442</v>
      </c>
      <c r="H233" s="91"/>
      <c r="I233" s="91"/>
      <c r="J233" s="91"/>
      <c r="K233" s="91" t="s">
        <v>442</v>
      </c>
      <c r="L233" s="91"/>
      <c r="M233" s="91"/>
      <c r="N233" s="91" t="s">
        <v>442</v>
      </c>
      <c r="O233" s="91"/>
      <c r="P233" s="91"/>
      <c r="Q233" s="91"/>
      <c r="R233" s="91"/>
      <c r="S233" s="91"/>
      <c r="T233" s="91"/>
      <c r="U233" s="91"/>
      <c r="V233" s="91" t="s">
        <v>442</v>
      </c>
      <c r="W233" s="91"/>
      <c r="X233" s="91"/>
      <c r="Y233" s="91"/>
      <c r="Z233" s="91"/>
      <c r="AA233" s="91"/>
      <c r="AB233" s="91" t="s">
        <v>442</v>
      </c>
      <c r="AC233" s="91"/>
      <c r="AD233" s="91"/>
      <c r="AE233" s="8">
        <f t="shared" si="3"/>
        <v>57.6</v>
      </c>
      <c r="AF233" s="29"/>
    </row>
    <row r="234" spans="1:32" ht="16.5">
      <c r="A234" s="3" t="s">
        <v>72</v>
      </c>
      <c r="B234" s="4">
        <v>23</v>
      </c>
      <c r="C234" s="4">
        <v>20</v>
      </c>
      <c r="D234" s="4">
        <v>72</v>
      </c>
      <c r="E234" s="6">
        <v>90</v>
      </c>
      <c r="F234" s="4">
        <v>36</v>
      </c>
      <c r="G234" s="91"/>
      <c r="H234" s="91" t="s">
        <v>442</v>
      </c>
      <c r="I234" s="91" t="s">
        <v>442</v>
      </c>
      <c r="J234" s="91"/>
      <c r="K234" s="91"/>
      <c r="L234" s="91" t="s">
        <v>442</v>
      </c>
      <c r="M234" s="91" t="s">
        <v>442</v>
      </c>
      <c r="N234" s="91"/>
      <c r="O234" s="91"/>
      <c r="P234" s="91"/>
      <c r="Q234" s="91"/>
      <c r="R234" s="91"/>
      <c r="S234" s="91"/>
      <c r="T234" s="91"/>
      <c r="U234" s="91"/>
      <c r="V234" s="91" t="s">
        <v>442</v>
      </c>
      <c r="W234" s="91"/>
      <c r="X234" s="91"/>
      <c r="Y234" s="91"/>
      <c r="Z234" s="91" t="s">
        <v>442</v>
      </c>
      <c r="AA234" s="91"/>
      <c r="AB234" s="91" t="s">
        <v>442</v>
      </c>
      <c r="AC234" s="91"/>
      <c r="AD234" s="91"/>
      <c r="AE234" s="8">
        <f t="shared" si="3"/>
        <v>48.2</v>
      </c>
      <c r="AF234" s="29"/>
    </row>
    <row r="235" spans="1:32" ht="16.5">
      <c r="A235" s="3" t="s">
        <v>334</v>
      </c>
      <c r="B235" s="4">
        <v>41</v>
      </c>
      <c r="C235" s="4">
        <v>57</v>
      </c>
      <c r="D235" s="4">
        <v>66</v>
      </c>
      <c r="E235" s="4">
        <v>60</v>
      </c>
      <c r="F235" s="4">
        <v>64</v>
      </c>
      <c r="G235" s="91"/>
      <c r="H235" s="91"/>
      <c r="I235" s="91" t="s">
        <v>442</v>
      </c>
      <c r="J235" s="91" t="s">
        <v>442</v>
      </c>
      <c r="K235" s="91"/>
      <c r="L235" s="91"/>
      <c r="M235" s="91" t="s">
        <v>442</v>
      </c>
      <c r="N235" s="91" t="s">
        <v>442</v>
      </c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8">
        <f t="shared" si="3"/>
        <v>57.6</v>
      </c>
      <c r="AF235" s="29"/>
    </row>
    <row r="236" spans="1:32" ht="16.5">
      <c r="A236" s="3" t="s">
        <v>154</v>
      </c>
      <c r="B236" s="4">
        <v>47</v>
      </c>
      <c r="C236" s="4">
        <v>63</v>
      </c>
      <c r="D236" s="4">
        <v>44</v>
      </c>
      <c r="E236" s="4">
        <v>40</v>
      </c>
      <c r="F236" s="4">
        <v>28</v>
      </c>
      <c r="G236" s="91"/>
      <c r="H236" s="91" t="s">
        <v>442</v>
      </c>
      <c r="I236" s="91"/>
      <c r="J236" s="91"/>
      <c r="K236" s="91"/>
      <c r="L236" s="91"/>
      <c r="M236" s="91"/>
      <c r="N236" s="91"/>
      <c r="O236" s="91"/>
      <c r="P236" s="91"/>
      <c r="Q236" s="91" t="s">
        <v>442</v>
      </c>
      <c r="R236" s="91"/>
      <c r="S236" s="91"/>
      <c r="T236" s="91" t="s">
        <v>442</v>
      </c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8">
        <f t="shared" si="3"/>
        <v>44.4</v>
      </c>
      <c r="AF236" s="29"/>
    </row>
    <row r="237" spans="1:32" ht="16.5">
      <c r="A237" s="3" t="s">
        <v>406</v>
      </c>
      <c r="B237" s="4">
        <v>46</v>
      </c>
      <c r="C237" s="4">
        <v>70</v>
      </c>
      <c r="D237" s="4">
        <v>39</v>
      </c>
      <c r="E237" s="4">
        <v>41</v>
      </c>
      <c r="F237" s="4">
        <v>47</v>
      </c>
      <c r="G237" s="91"/>
      <c r="H237" s="91"/>
      <c r="I237" s="91"/>
      <c r="J237" s="91"/>
      <c r="K237" s="91"/>
      <c r="L237" s="91"/>
      <c r="M237" s="91"/>
      <c r="N237" s="91" t="s">
        <v>442</v>
      </c>
      <c r="O237" s="91"/>
      <c r="P237" s="91"/>
      <c r="Q237" s="91"/>
      <c r="R237" s="91"/>
      <c r="S237" s="91"/>
      <c r="T237" s="91" t="s">
        <v>442</v>
      </c>
      <c r="U237" s="91"/>
      <c r="V237" s="91" t="s">
        <v>442</v>
      </c>
      <c r="W237" s="91"/>
      <c r="X237" s="91"/>
      <c r="Y237" s="91"/>
      <c r="Z237" s="91"/>
      <c r="AA237" s="91"/>
      <c r="AB237" s="91"/>
      <c r="AC237" s="91"/>
      <c r="AD237" s="91"/>
      <c r="AE237" s="8">
        <f t="shared" si="3"/>
        <v>48.6</v>
      </c>
      <c r="AF237" s="29"/>
    </row>
    <row r="238" spans="1:32" ht="16.5">
      <c r="A238" s="3" t="s">
        <v>132</v>
      </c>
      <c r="B238" s="4">
        <v>38</v>
      </c>
      <c r="C238" s="4">
        <v>54</v>
      </c>
      <c r="D238" s="4">
        <v>67</v>
      </c>
      <c r="E238" s="4">
        <v>68</v>
      </c>
      <c r="F238" s="4">
        <v>41</v>
      </c>
      <c r="G238" s="91"/>
      <c r="H238" s="91"/>
      <c r="I238" s="91"/>
      <c r="J238" s="91"/>
      <c r="K238" s="91" t="s">
        <v>442</v>
      </c>
      <c r="L238" s="91" t="s">
        <v>442</v>
      </c>
      <c r="M238" s="91" t="s">
        <v>442</v>
      </c>
      <c r="N238" s="91"/>
      <c r="O238" s="91"/>
      <c r="P238" s="91"/>
      <c r="Q238" s="91"/>
      <c r="R238" s="91"/>
      <c r="S238" s="91"/>
      <c r="T238" s="91" t="s">
        <v>442</v>
      </c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8">
        <f t="shared" si="3"/>
        <v>53.6</v>
      </c>
      <c r="AF238" s="29"/>
    </row>
    <row r="239" spans="1:32" ht="16.5">
      <c r="A239" s="3" t="s">
        <v>278</v>
      </c>
      <c r="B239" s="4">
        <v>76</v>
      </c>
      <c r="C239" s="5">
        <v>86</v>
      </c>
      <c r="D239" s="5">
        <v>80</v>
      </c>
      <c r="E239" s="4">
        <v>44</v>
      </c>
      <c r="F239" s="4">
        <v>72</v>
      </c>
      <c r="G239" s="91"/>
      <c r="H239" s="91" t="s">
        <v>442</v>
      </c>
      <c r="I239" s="91"/>
      <c r="J239" s="91" t="s">
        <v>442</v>
      </c>
      <c r="K239" s="91"/>
      <c r="L239" s="91"/>
      <c r="M239" s="91"/>
      <c r="N239" s="91" t="s">
        <v>442</v>
      </c>
      <c r="O239" s="91"/>
      <c r="P239" s="91" t="s">
        <v>442</v>
      </c>
      <c r="Q239" s="91"/>
      <c r="R239" s="91"/>
      <c r="S239" s="91"/>
      <c r="T239" s="91"/>
      <c r="U239" s="91" t="s">
        <v>442</v>
      </c>
      <c r="V239" s="91"/>
      <c r="W239" s="91"/>
      <c r="X239" s="91"/>
      <c r="Y239" s="91"/>
      <c r="Z239" s="91"/>
      <c r="AA239" s="91"/>
      <c r="AB239" s="91"/>
      <c r="AC239" s="91"/>
      <c r="AD239" s="91" t="s">
        <v>442</v>
      </c>
      <c r="AE239" s="8">
        <f t="shared" si="3"/>
        <v>71.599999999999994</v>
      </c>
      <c r="AF239" s="29"/>
    </row>
    <row r="240" spans="1:32" ht="16.5">
      <c r="A240" s="3" t="s">
        <v>55</v>
      </c>
      <c r="B240" s="4">
        <v>67</v>
      </c>
      <c r="C240" s="4">
        <v>20</v>
      </c>
      <c r="D240" s="6">
        <v>90</v>
      </c>
      <c r="E240" s="5">
        <v>84</v>
      </c>
      <c r="F240" s="4">
        <v>44</v>
      </c>
      <c r="G240" s="91"/>
      <c r="H240" s="91" t="s">
        <v>442</v>
      </c>
      <c r="I240" s="91" t="s">
        <v>442</v>
      </c>
      <c r="J240" s="91" t="s">
        <v>442</v>
      </c>
      <c r="K240" s="91" t="s">
        <v>442</v>
      </c>
      <c r="L240" s="91" t="s">
        <v>442</v>
      </c>
      <c r="M240" s="91" t="s">
        <v>442</v>
      </c>
      <c r="N240" s="91" t="s">
        <v>442</v>
      </c>
      <c r="O240" s="91" t="s">
        <v>442</v>
      </c>
      <c r="P240" s="91"/>
      <c r="Q240" s="91"/>
      <c r="R240" s="91"/>
      <c r="S240" s="91"/>
      <c r="T240" s="91"/>
      <c r="U240" s="91" t="s">
        <v>442</v>
      </c>
      <c r="V240" s="91"/>
      <c r="W240" s="91"/>
      <c r="X240" s="91"/>
      <c r="Y240" s="91"/>
      <c r="Z240" s="91"/>
      <c r="AA240" s="91"/>
      <c r="AB240" s="91"/>
      <c r="AC240" s="91"/>
      <c r="AD240" s="91"/>
      <c r="AE240" s="8">
        <f t="shared" si="3"/>
        <v>61</v>
      </c>
      <c r="AF240" s="29"/>
    </row>
    <row r="241" spans="1:32" ht="16.5">
      <c r="A241" s="3" t="s">
        <v>109</v>
      </c>
      <c r="B241" s="4">
        <v>66</v>
      </c>
      <c r="C241" s="5">
        <v>81</v>
      </c>
      <c r="D241" s="4">
        <v>24</v>
      </c>
      <c r="E241" s="4">
        <v>18</v>
      </c>
      <c r="F241" s="4">
        <v>32</v>
      </c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 t="s">
        <v>442</v>
      </c>
      <c r="R241" s="91"/>
      <c r="S241" s="91"/>
      <c r="T241" s="91"/>
      <c r="U241" s="91" t="s">
        <v>442</v>
      </c>
      <c r="V241" s="91"/>
      <c r="W241" s="91"/>
      <c r="X241" s="91"/>
      <c r="Y241" s="91" t="s">
        <v>442</v>
      </c>
      <c r="Z241" s="91"/>
      <c r="AA241" s="91"/>
      <c r="AB241" s="91"/>
      <c r="AC241" s="91" t="s">
        <v>442</v>
      </c>
      <c r="AD241" s="91"/>
      <c r="AE241" s="8">
        <f t="shared" si="3"/>
        <v>44.2</v>
      </c>
      <c r="AF241" s="29"/>
    </row>
    <row r="242" spans="1:32" ht="16.5">
      <c r="A242" s="3" t="s">
        <v>179</v>
      </c>
      <c r="B242" s="4">
        <v>57</v>
      </c>
      <c r="C242" s="4">
        <v>22</v>
      </c>
      <c r="D242" s="5">
        <v>83</v>
      </c>
      <c r="E242" s="5">
        <v>84</v>
      </c>
      <c r="F242" s="4">
        <v>72</v>
      </c>
      <c r="G242" s="91" t="s">
        <v>442</v>
      </c>
      <c r="H242" s="91" t="s">
        <v>442</v>
      </c>
      <c r="I242" s="91" t="s">
        <v>442</v>
      </c>
      <c r="J242" s="91" t="s">
        <v>442</v>
      </c>
      <c r="K242" s="91"/>
      <c r="L242" s="91"/>
      <c r="M242" s="91" t="s">
        <v>442</v>
      </c>
      <c r="N242" s="91"/>
      <c r="O242" s="91" t="s">
        <v>442</v>
      </c>
      <c r="P242" s="91"/>
      <c r="Q242" s="91"/>
      <c r="R242" s="91"/>
      <c r="S242" s="91"/>
      <c r="T242" s="91"/>
      <c r="U242" s="91" t="s">
        <v>442</v>
      </c>
      <c r="V242" s="91"/>
      <c r="W242" s="91"/>
      <c r="X242" s="91"/>
      <c r="Y242" s="91"/>
      <c r="Z242" s="91" t="s">
        <v>442</v>
      </c>
      <c r="AA242" s="91"/>
      <c r="AB242" s="91" t="s">
        <v>442</v>
      </c>
      <c r="AC242" s="91"/>
      <c r="AD242" s="91"/>
      <c r="AE242" s="8">
        <f t="shared" si="3"/>
        <v>63.6</v>
      </c>
      <c r="AF242" s="29"/>
    </row>
    <row r="243" spans="1:32" ht="16.5">
      <c r="A243" s="3" t="s">
        <v>122</v>
      </c>
      <c r="B243" s="4">
        <v>70</v>
      </c>
      <c r="C243" s="4">
        <v>72</v>
      </c>
      <c r="D243" s="4">
        <v>46</v>
      </c>
      <c r="E243" s="4">
        <v>38</v>
      </c>
      <c r="F243" s="4">
        <v>55</v>
      </c>
      <c r="G243" s="91"/>
      <c r="H243" s="91"/>
      <c r="I243" s="91"/>
      <c r="J243" s="91"/>
      <c r="K243" s="91"/>
      <c r="L243" s="91"/>
      <c r="M243" s="91"/>
      <c r="N243" s="91" t="s">
        <v>442</v>
      </c>
      <c r="O243" s="91"/>
      <c r="P243" s="91"/>
      <c r="Q243" s="91"/>
      <c r="R243" s="91" t="s">
        <v>442</v>
      </c>
      <c r="S243" s="91"/>
      <c r="T243" s="91" t="s">
        <v>442</v>
      </c>
      <c r="U243" s="91"/>
      <c r="V243" s="91" t="s">
        <v>442</v>
      </c>
      <c r="W243" s="91"/>
      <c r="X243" s="91"/>
      <c r="Y243" s="91"/>
      <c r="Z243" s="91"/>
      <c r="AA243" s="91"/>
      <c r="AB243" s="91"/>
      <c r="AC243" s="91"/>
      <c r="AD243" s="91"/>
      <c r="AE243" s="8">
        <f t="shared" si="3"/>
        <v>56.2</v>
      </c>
      <c r="AF243" s="29"/>
    </row>
    <row r="244" spans="1:32" ht="16.5">
      <c r="A244" s="3" t="s">
        <v>404</v>
      </c>
      <c r="B244" s="4">
        <v>61</v>
      </c>
      <c r="C244" s="4">
        <v>62</v>
      </c>
      <c r="D244" s="4">
        <v>50</v>
      </c>
      <c r="E244" s="4">
        <v>63</v>
      </c>
      <c r="F244" s="4">
        <v>59</v>
      </c>
      <c r="G244" s="91"/>
      <c r="H244" s="91" t="s">
        <v>442</v>
      </c>
      <c r="I244" s="91"/>
      <c r="J244" s="91" t="s">
        <v>442</v>
      </c>
      <c r="K244" s="91"/>
      <c r="L244" s="91"/>
      <c r="M244" s="91"/>
      <c r="N244" s="91" t="s">
        <v>442</v>
      </c>
      <c r="O244" s="91"/>
      <c r="P244" s="91"/>
      <c r="Q244" s="91"/>
      <c r="R244" s="91"/>
      <c r="S244" s="91"/>
      <c r="T244" s="91"/>
      <c r="U244" s="91"/>
      <c r="V244" s="91" t="s">
        <v>442</v>
      </c>
      <c r="W244" s="91"/>
      <c r="X244" s="91"/>
      <c r="Y244" s="91"/>
      <c r="Z244" s="91"/>
      <c r="AA244" s="91"/>
      <c r="AB244" s="91" t="s">
        <v>442</v>
      </c>
      <c r="AC244" s="91"/>
      <c r="AD244" s="91"/>
      <c r="AE244" s="8">
        <f t="shared" si="3"/>
        <v>59</v>
      </c>
      <c r="AF244" s="29"/>
    </row>
    <row r="245" spans="1:32" ht="16.5">
      <c r="A245" s="3" t="s">
        <v>176</v>
      </c>
      <c r="B245" s="4">
        <v>73</v>
      </c>
      <c r="C245" s="4">
        <v>60</v>
      </c>
      <c r="D245" s="5">
        <v>86</v>
      </c>
      <c r="E245" s="4">
        <v>77</v>
      </c>
      <c r="F245" s="4">
        <v>79</v>
      </c>
      <c r="G245" s="91" t="s">
        <v>442</v>
      </c>
      <c r="H245" s="91"/>
      <c r="I245" s="91" t="s">
        <v>442</v>
      </c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 t="s">
        <v>442</v>
      </c>
      <c r="V245" s="91"/>
      <c r="W245" s="91"/>
      <c r="X245" s="91"/>
      <c r="Y245" s="91"/>
      <c r="Z245" s="91"/>
      <c r="AA245" s="91"/>
      <c r="AB245" s="91"/>
      <c r="AC245" s="91"/>
      <c r="AD245" s="91" t="s">
        <v>442</v>
      </c>
      <c r="AE245" s="8">
        <f t="shared" si="3"/>
        <v>75</v>
      </c>
      <c r="AF245" s="29"/>
    </row>
    <row r="246" spans="1:32" ht="16.5">
      <c r="A246" s="3" t="s">
        <v>263</v>
      </c>
      <c r="B246" s="4">
        <v>31</v>
      </c>
      <c r="C246" s="4">
        <v>22</v>
      </c>
      <c r="D246" s="4">
        <v>68</v>
      </c>
      <c r="E246" s="4">
        <v>26</v>
      </c>
      <c r="F246" s="4">
        <v>13</v>
      </c>
      <c r="G246" s="91"/>
      <c r="H246" s="91" t="s">
        <v>442</v>
      </c>
      <c r="I246" s="91"/>
      <c r="J246" s="91"/>
      <c r="K246" s="91"/>
      <c r="L246" s="91"/>
      <c r="M246" s="91" t="s">
        <v>442</v>
      </c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8">
        <f t="shared" si="3"/>
        <v>32</v>
      </c>
      <c r="AF246" s="29"/>
    </row>
    <row r="247" spans="1:32" ht="16.5">
      <c r="A247" s="3" t="s">
        <v>227</v>
      </c>
      <c r="B247" s="4">
        <v>27</v>
      </c>
      <c r="C247" s="4">
        <v>19</v>
      </c>
      <c r="D247" s="5">
        <v>87</v>
      </c>
      <c r="E247" s="6">
        <v>96</v>
      </c>
      <c r="F247" s="5">
        <v>84</v>
      </c>
      <c r="G247" s="91" t="s">
        <v>442</v>
      </c>
      <c r="H247" s="91" t="s">
        <v>442</v>
      </c>
      <c r="I247" s="91" t="s">
        <v>442</v>
      </c>
      <c r="J247" s="91" t="s">
        <v>442</v>
      </c>
      <c r="K247" s="91"/>
      <c r="L247" s="91"/>
      <c r="M247" s="91" t="s">
        <v>442</v>
      </c>
      <c r="N247" s="91" t="s">
        <v>442</v>
      </c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 t="s">
        <v>442</v>
      </c>
      <c r="Z247" s="91" t="s">
        <v>442</v>
      </c>
      <c r="AA247" s="91"/>
      <c r="AB247" s="91" t="s">
        <v>442</v>
      </c>
      <c r="AC247" s="91"/>
      <c r="AD247" s="91"/>
      <c r="AE247" s="8">
        <f t="shared" si="3"/>
        <v>62.6</v>
      </c>
      <c r="AF247" s="29"/>
    </row>
    <row r="248" spans="1:32" ht="16.5">
      <c r="A248" s="3" t="s">
        <v>218</v>
      </c>
      <c r="B248" s="4">
        <v>46</v>
      </c>
      <c r="C248" s="4">
        <v>56</v>
      </c>
      <c r="D248" s="4">
        <v>46</v>
      </c>
      <c r="E248" s="4">
        <v>43</v>
      </c>
      <c r="F248" s="4">
        <v>52</v>
      </c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 t="s">
        <v>442</v>
      </c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8">
        <f t="shared" si="3"/>
        <v>48.6</v>
      </c>
      <c r="AF248" s="29"/>
    </row>
    <row r="249" spans="1:32" ht="16.5">
      <c r="A249" s="3" t="s">
        <v>875</v>
      </c>
      <c r="B249" s="4">
        <v>77</v>
      </c>
      <c r="C249" s="4">
        <v>69</v>
      </c>
      <c r="D249" s="5">
        <v>81</v>
      </c>
      <c r="E249" s="4">
        <v>67</v>
      </c>
      <c r="F249" s="6">
        <v>91</v>
      </c>
      <c r="G249" s="91"/>
      <c r="H249" s="91"/>
      <c r="I249" s="91" t="s">
        <v>442</v>
      </c>
      <c r="J249" s="91"/>
      <c r="K249" s="91"/>
      <c r="L249" s="91"/>
      <c r="M249" s="91" t="s">
        <v>442</v>
      </c>
      <c r="N249" s="91"/>
      <c r="O249" s="91"/>
      <c r="P249" s="91"/>
      <c r="Q249" s="91"/>
      <c r="R249" s="91"/>
      <c r="S249" s="91"/>
      <c r="T249" s="91"/>
      <c r="U249" s="91" t="s">
        <v>442</v>
      </c>
      <c r="V249" s="91"/>
      <c r="W249" s="91" t="s">
        <v>442</v>
      </c>
      <c r="X249" s="91"/>
      <c r="Y249" s="91" t="s">
        <v>442</v>
      </c>
      <c r="Z249" s="91"/>
      <c r="AA249" s="91"/>
      <c r="AB249" s="91" t="s">
        <v>442</v>
      </c>
      <c r="AC249" s="91"/>
      <c r="AD249" s="91" t="s">
        <v>442</v>
      </c>
      <c r="AE249" s="8">
        <f t="shared" si="3"/>
        <v>77</v>
      </c>
      <c r="AF249" s="29"/>
    </row>
    <row r="250" spans="1:32" ht="16.5">
      <c r="A250" s="3" t="s">
        <v>161</v>
      </c>
      <c r="B250" s="4">
        <v>50</v>
      </c>
      <c r="C250" s="4">
        <v>58</v>
      </c>
      <c r="D250" s="4">
        <v>27</v>
      </c>
      <c r="E250" s="4">
        <v>17</v>
      </c>
      <c r="F250" s="4">
        <v>36</v>
      </c>
      <c r="G250" s="91"/>
      <c r="H250" s="91"/>
      <c r="I250" s="91"/>
      <c r="J250" s="91"/>
      <c r="K250" s="91"/>
      <c r="L250" s="91"/>
      <c r="M250" s="91"/>
      <c r="N250" s="91" t="s">
        <v>442</v>
      </c>
      <c r="O250" s="91"/>
      <c r="P250" s="91"/>
      <c r="Q250" s="91"/>
      <c r="R250" s="91"/>
      <c r="S250" s="91"/>
      <c r="T250" s="91" t="s">
        <v>442</v>
      </c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8">
        <f t="shared" si="3"/>
        <v>37.6</v>
      </c>
      <c r="AF250" s="29"/>
    </row>
    <row r="251" spans="1:32" ht="16.5">
      <c r="A251" s="3" t="s">
        <v>43</v>
      </c>
      <c r="B251" s="4">
        <v>79</v>
      </c>
      <c r="C251" s="6">
        <v>99</v>
      </c>
      <c r="D251" s="4">
        <v>39</v>
      </c>
      <c r="E251" s="4">
        <v>22</v>
      </c>
      <c r="F251" s="4">
        <v>39</v>
      </c>
      <c r="G251" s="91"/>
      <c r="H251" s="91"/>
      <c r="I251" s="91"/>
      <c r="J251" s="91"/>
      <c r="K251" s="91"/>
      <c r="L251" s="91"/>
      <c r="M251" s="91"/>
      <c r="N251" s="91"/>
      <c r="O251" s="91"/>
      <c r="P251" s="91" t="s">
        <v>442</v>
      </c>
      <c r="Q251" s="91" t="s">
        <v>442</v>
      </c>
      <c r="R251" s="91"/>
      <c r="S251" s="91"/>
      <c r="T251" s="91" t="s">
        <v>442</v>
      </c>
      <c r="U251" s="91" t="s">
        <v>442</v>
      </c>
      <c r="V251" s="91"/>
      <c r="W251" s="91"/>
      <c r="X251" s="91"/>
      <c r="Y251" s="91"/>
      <c r="Z251" s="91"/>
      <c r="AA251" s="91"/>
      <c r="AB251" s="91"/>
      <c r="AC251" s="91" t="s">
        <v>442</v>
      </c>
      <c r="AD251" s="91"/>
      <c r="AE251" s="8">
        <f t="shared" si="3"/>
        <v>55.6</v>
      </c>
      <c r="AF251" s="29"/>
    </row>
    <row r="252" spans="1:32" ht="16.5">
      <c r="A252" s="3" t="s">
        <v>224</v>
      </c>
      <c r="B252" s="4">
        <v>64</v>
      </c>
      <c r="C252" s="4">
        <v>46</v>
      </c>
      <c r="D252" s="4">
        <v>72</v>
      </c>
      <c r="E252" s="4">
        <v>66</v>
      </c>
      <c r="F252" s="4">
        <v>64</v>
      </c>
      <c r="G252" s="91" t="s">
        <v>442</v>
      </c>
      <c r="H252" s="91" t="s">
        <v>442</v>
      </c>
      <c r="I252" s="91"/>
      <c r="J252" s="91" t="s">
        <v>442</v>
      </c>
      <c r="K252" s="91"/>
      <c r="L252" s="91"/>
      <c r="M252" s="91"/>
      <c r="N252" s="91"/>
      <c r="O252" s="91" t="s">
        <v>442</v>
      </c>
      <c r="P252" s="91"/>
      <c r="Q252" s="91"/>
      <c r="R252" s="91"/>
      <c r="S252" s="91"/>
      <c r="T252" s="91"/>
      <c r="U252" s="91" t="s">
        <v>442</v>
      </c>
      <c r="V252" s="91"/>
      <c r="W252" s="91"/>
      <c r="X252" s="91"/>
      <c r="Y252" s="91"/>
      <c r="Z252" s="91"/>
      <c r="AA252" s="91"/>
      <c r="AB252" s="91"/>
      <c r="AC252" s="91"/>
      <c r="AD252" s="91"/>
      <c r="AE252" s="8">
        <f t="shared" si="3"/>
        <v>62.4</v>
      </c>
      <c r="AF252" s="29" t="s">
        <v>326</v>
      </c>
    </row>
    <row r="253" spans="1:32" ht="16.5">
      <c r="A253" s="3" t="s">
        <v>224</v>
      </c>
      <c r="B253" s="4">
        <v>37</v>
      </c>
      <c r="C253" s="4">
        <v>23</v>
      </c>
      <c r="D253" s="5">
        <v>88</v>
      </c>
      <c r="E253" s="6">
        <v>98</v>
      </c>
      <c r="F253" s="5">
        <v>83</v>
      </c>
      <c r="G253" s="91"/>
      <c r="H253" s="91" t="s">
        <v>442</v>
      </c>
      <c r="I253" s="91" t="s">
        <v>442</v>
      </c>
      <c r="J253" s="91" t="s">
        <v>442</v>
      </c>
      <c r="K253" s="91" t="s">
        <v>442</v>
      </c>
      <c r="L253" s="91"/>
      <c r="M253" s="91" t="s">
        <v>442</v>
      </c>
      <c r="N253" s="91"/>
      <c r="O253" s="91"/>
      <c r="P253" s="91"/>
      <c r="Q253" s="91"/>
      <c r="R253" s="91"/>
      <c r="S253" s="91"/>
      <c r="T253" s="91"/>
      <c r="U253" s="91"/>
      <c r="V253" s="91" t="s">
        <v>442</v>
      </c>
      <c r="W253" s="91"/>
      <c r="X253" s="91"/>
      <c r="Y253" s="91" t="s">
        <v>442</v>
      </c>
      <c r="Z253" s="91"/>
      <c r="AA253" s="91"/>
      <c r="AB253" s="91" t="s">
        <v>442</v>
      </c>
      <c r="AC253" s="91"/>
      <c r="AD253" s="91" t="s">
        <v>442</v>
      </c>
      <c r="AE253" s="8">
        <f t="shared" si="3"/>
        <v>65.8</v>
      </c>
      <c r="AF253" s="29"/>
    </row>
    <row r="254" spans="1:32" ht="16.5">
      <c r="A254" s="3" t="s">
        <v>175</v>
      </c>
      <c r="B254" s="4">
        <v>32</v>
      </c>
      <c r="C254" s="4">
        <v>35</v>
      </c>
      <c r="D254" s="5">
        <v>85</v>
      </c>
      <c r="E254" s="6">
        <v>92</v>
      </c>
      <c r="F254" s="4">
        <v>77</v>
      </c>
      <c r="G254" s="91" t="s">
        <v>442</v>
      </c>
      <c r="H254" s="91" t="s">
        <v>442</v>
      </c>
      <c r="I254" s="91"/>
      <c r="J254" s="91" t="s">
        <v>442</v>
      </c>
      <c r="K254" s="91" t="s">
        <v>442</v>
      </c>
      <c r="L254" s="91" t="s">
        <v>442</v>
      </c>
      <c r="M254" s="91" t="s">
        <v>442</v>
      </c>
      <c r="N254" s="91"/>
      <c r="O254" s="91" t="s">
        <v>442</v>
      </c>
      <c r="P254" s="91"/>
      <c r="Q254" s="91"/>
      <c r="R254" s="91"/>
      <c r="S254" s="91"/>
      <c r="T254" s="91"/>
      <c r="U254" s="91"/>
      <c r="V254" s="91" t="s">
        <v>442</v>
      </c>
      <c r="W254" s="91"/>
      <c r="X254" s="91"/>
      <c r="Y254" s="91"/>
      <c r="Z254" s="91"/>
      <c r="AA254" s="91"/>
      <c r="AB254" s="91"/>
      <c r="AC254" s="91"/>
      <c r="AD254" s="91"/>
      <c r="AE254" s="8">
        <f t="shared" si="3"/>
        <v>64.2</v>
      </c>
      <c r="AF254" s="29"/>
    </row>
    <row r="255" spans="1:32" ht="16.5">
      <c r="A255" s="3" t="s">
        <v>88</v>
      </c>
      <c r="B255" s="4">
        <v>68</v>
      </c>
      <c r="C255" s="4">
        <v>76</v>
      </c>
      <c r="D255" s="4">
        <v>58</v>
      </c>
      <c r="E255" s="4">
        <v>49</v>
      </c>
      <c r="F255" s="4">
        <v>70</v>
      </c>
      <c r="G255" s="91"/>
      <c r="H255" s="91"/>
      <c r="I255" s="91" t="s">
        <v>442</v>
      </c>
      <c r="J255" s="91" t="s">
        <v>442</v>
      </c>
      <c r="K255" s="91" t="s">
        <v>442</v>
      </c>
      <c r="L255" s="91"/>
      <c r="M255" s="91"/>
      <c r="N255" s="91" t="s">
        <v>442</v>
      </c>
      <c r="O255" s="91"/>
      <c r="P255" s="91"/>
      <c r="Q255" s="91" t="s">
        <v>442</v>
      </c>
      <c r="R255" s="91"/>
      <c r="S255" s="91"/>
      <c r="T255" s="91" t="s">
        <v>442</v>
      </c>
      <c r="U255" s="91"/>
      <c r="V255" s="91"/>
      <c r="W255" s="91"/>
      <c r="X255" s="91"/>
      <c r="Y255" s="91"/>
      <c r="Z255" s="91"/>
      <c r="AA255" s="91"/>
      <c r="AB255" s="91"/>
      <c r="AC255" s="91"/>
      <c r="AD255" s="91" t="s">
        <v>442</v>
      </c>
      <c r="AE255" s="8">
        <f t="shared" si="3"/>
        <v>64.2</v>
      </c>
      <c r="AF255" s="29"/>
    </row>
    <row r="256" spans="1:32" ht="16.5">
      <c r="A256" s="3" t="s">
        <v>188</v>
      </c>
      <c r="B256" s="4">
        <v>76</v>
      </c>
      <c r="C256" s="4">
        <v>69</v>
      </c>
      <c r="D256" s="4">
        <v>53</v>
      </c>
      <c r="E256" s="4">
        <v>44</v>
      </c>
      <c r="F256" s="4">
        <v>76</v>
      </c>
      <c r="G256" s="91"/>
      <c r="H256" s="91"/>
      <c r="I256" s="91"/>
      <c r="J256" s="91"/>
      <c r="K256" s="91"/>
      <c r="L256" s="91"/>
      <c r="M256" s="91"/>
      <c r="N256" s="91"/>
      <c r="O256" s="91" t="s">
        <v>442</v>
      </c>
      <c r="P256" s="91" t="s">
        <v>442</v>
      </c>
      <c r="Q256" s="91"/>
      <c r="R256" s="91"/>
      <c r="S256" s="91"/>
      <c r="T256" s="91"/>
      <c r="U256" s="91"/>
      <c r="V256" s="91"/>
      <c r="W256" s="91"/>
      <c r="X256" s="91"/>
      <c r="Y256" s="91" t="s">
        <v>442</v>
      </c>
      <c r="Z256" s="91" t="s">
        <v>442</v>
      </c>
      <c r="AA256" s="91"/>
      <c r="AB256" s="91" t="s">
        <v>442</v>
      </c>
      <c r="AC256" s="91"/>
      <c r="AD256" s="91"/>
      <c r="AE256" s="8">
        <f t="shared" si="3"/>
        <v>63.6</v>
      </c>
      <c r="AF256" s="29"/>
    </row>
    <row r="257" spans="1:32" ht="16.5">
      <c r="A257" s="3" t="s">
        <v>128</v>
      </c>
      <c r="B257" s="4">
        <v>59</v>
      </c>
      <c r="C257" s="4">
        <v>71</v>
      </c>
      <c r="D257" s="4">
        <v>47</v>
      </c>
      <c r="E257" s="4">
        <v>42</v>
      </c>
      <c r="F257" s="4">
        <v>55</v>
      </c>
      <c r="G257" s="91"/>
      <c r="H257" s="91"/>
      <c r="I257" s="91"/>
      <c r="J257" s="91"/>
      <c r="K257" s="91"/>
      <c r="L257" s="91"/>
      <c r="M257" s="91"/>
      <c r="N257" s="91"/>
      <c r="O257" s="91"/>
      <c r="P257" s="91" t="s">
        <v>442</v>
      </c>
      <c r="Q257" s="91"/>
      <c r="R257" s="91"/>
      <c r="S257" s="91"/>
      <c r="T257" s="91"/>
      <c r="U257" s="91"/>
      <c r="V257" s="91"/>
      <c r="W257" s="91"/>
      <c r="X257" s="91"/>
      <c r="Y257" s="91" t="s">
        <v>442</v>
      </c>
      <c r="Z257" s="91"/>
      <c r="AA257" s="91"/>
      <c r="AB257" s="91"/>
      <c r="AC257" s="91"/>
      <c r="AD257" s="91"/>
      <c r="AE257" s="8">
        <f t="shared" si="3"/>
        <v>54.8</v>
      </c>
      <c r="AF257" s="29"/>
    </row>
    <row r="258" spans="1:32" ht="16.5">
      <c r="A258" s="3" t="s">
        <v>336</v>
      </c>
      <c r="B258" s="4">
        <v>26</v>
      </c>
      <c r="C258" s="4">
        <v>20</v>
      </c>
      <c r="D258" s="4">
        <v>59</v>
      </c>
      <c r="E258" s="4">
        <v>69</v>
      </c>
      <c r="F258" s="4">
        <v>60</v>
      </c>
      <c r="G258" s="91" t="s">
        <v>442</v>
      </c>
      <c r="H258" s="91"/>
      <c r="I258" s="91"/>
      <c r="J258" s="91" t="s">
        <v>442</v>
      </c>
      <c r="K258" s="91" t="s">
        <v>442</v>
      </c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 t="s">
        <v>442</v>
      </c>
      <c r="AC258" s="91"/>
      <c r="AD258" s="91"/>
      <c r="AE258" s="8">
        <f t="shared" si="3"/>
        <v>46.8</v>
      </c>
      <c r="AF258" s="29"/>
    </row>
    <row r="259" spans="1:32" ht="16.5">
      <c r="A259" s="3" t="s">
        <v>302</v>
      </c>
      <c r="B259" s="4">
        <v>74</v>
      </c>
      <c r="C259" s="4">
        <v>61</v>
      </c>
      <c r="D259" s="5">
        <v>85</v>
      </c>
      <c r="E259" s="6">
        <v>93</v>
      </c>
      <c r="F259" s="5">
        <v>83</v>
      </c>
      <c r="G259" s="91" t="s">
        <v>442</v>
      </c>
      <c r="H259" s="91" t="s">
        <v>442</v>
      </c>
      <c r="I259" s="91" t="s">
        <v>442</v>
      </c>
      <c r="J259" s="91" t="s">
        <v>442</v>
      </c>
      <c r="K259" s="91"/>
      <c r="L259" s="91"/>
      <c r="M259" s="91" t="s">
        <v>442</v>
      </c>
      <c r="N259" s="91"/>
      <c r="O259" s="91" t="s">
        <v>442</v>
      </c>
      <c r="P259" s="91" t="s">
        <v>442</v>
      </c>
      <c r="Q259" s="91"/>
      <c r="R259" s="91"/>
      <c r="S259" s="91"/>
      <c r="T259" s="91"/>
      <c r="U259" s="91" t="s">
        <v>442</v>
      </c>
      <c r="V259" s="91"/>
      <c r="W259" s="91"/>
      <c r="X259" s="91"/>
      <c r="Y259" s="91"/>
      <c r="Z259" s="91" t="s">
        <v>442</v>
      </c>
      <c r="AA259" s="91"/>
      <c r="AB259" s="91" t="s">
        <v>442</v>
      </c>
      <c r="AC259" s="91"/>
      <c r="AD259" s="91"/>
      <c r="AE259" s="8">
        <f t="shared" ref="AE259:AE322" si="4">SUM(B259:F259)/5</f>
        <v>79.2</v>
      </c>
      <c r="AF259" s="29"/>
    </row>
    <row r="260" spans="1:32" ht="16.5">
      <c r="A260" s="3" t="s">
        <v>877</v>
      </c>
      <c r="B260" s="6">
        <v>91</v>
      </c>
      <c r="C260" s="6">
        <v>90</v>
      </c>
      <c r="D260" s="5">
        <v>82</v>
      </c>
      <c r="E260" s="4">
        <v>69</v>
      </c>
      <c r="F260" s="5">
        <v>85</v>
      </c>
      <c r="G260" s="91" t="s">
        <v>442</v>
      </c>
      <c r="H260" s="91"/>
      <c r="I260" s="91" t="s">
        <v>442</v>
      </c>
      <c r="J260" s="91"/>
      <c r="K260" s="91" t="s">
        <v>442</v>
      </c>
      <c r="L260" s="91"/>
      <c r="M260" s="91"/>
      <c r="N260" s="91" t="s">
        <v>442</v>
      </c>
      <c r="O260" s="91"/>
      <c r="P260" s="91"/>
      <c r="Q260" s="91" t="s">
        <v>442</v>
      </c>
      <c r="R260" s="91" t="s">
        <v>442</v>
      </c>
      <c r="S260" s="91"/>
      <c r="T260" s="91" t="s">
        <v>442</v>
      </c>
      <c r="U260" s="91"/>
      <c r="V260" s="91" t="s">
        <v>442</v>
      </c>
      <c r="W260" s="91"/>
      <c r="X260" s="91"/>
      <c r="Y260" s="91"/>
      <c r="Z260" s="91"/>
      <c r="AA260" s="91"/>
      <c r="AB260" s="91"/>
      <c r="AC260" s="91"/>
      <c r="AD260" s="91" t="s">
        <v>442</v>
      </c>
      <c r="AE260" s="8">
        <f t="shared" si="4"/>
        <v>83.4</v>
      </c>
      <c r="AF260" s="29"/>
    </row>
    <row r="261" spans="1:32" ht="16.5">
      <c r="A261" s="3" t="s">
        <v>206</v>
      </c>
      <c r="B261" s="4">
        <v>62</v>
      </c>
      <c r="C261" s="4">
        <v>71</v>
      </c>
      <c r="D261" s="4">
        <v>35</v>
      </c>
      <c r="E261" s="4">
        <v>31</v>
      </c>
      <c r="F261" s="4">
        <v>65</v>
      </c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 t="s">
        <v>442</v>
      </c>
      <c r="R261" s="91"/>
      <c r="S261" s="91"/>
      <c r="T261" s="91" t="s">
        <v>442</v>
      </c>
      <c r="U261" s="91"/>
      <c r="V261" s="91"/>
      <c r="W261" s="91"/>
      <c r="X261" s="91"/>
      <c r="Y261" s="91"/>
      <c r="Z261" s="91"/>
      <c r="AA261" s="91"/>
      <c r="AB261" s="91"/>
      <c r="AC261" s="91" t="s">
        <v>442</v>
      </c>
      <c r="AD261" s="91"/>
      <c r="AE261" s="8">
        <f t="shared" si="4"/>
        <v>52.8</v>
      </c>
      <c r="AF261" s="29"/>
    </row>
    <row r="262" spans="1:32" ht="16.5">
      <c r="A262" s="3" t="s">
        <v>125</v>
      </c>
      <c r="B262" s="4">
        <v>50</v>
      </c>
      <c r="C262" s="4">
        <v>58</v>
      </c>
      <c r="D262" s="4">
        <v>60</v>
      </c>
      <c r="E262" s="4">
        <v>69</v>
      </c>
      <c r="F262" s="4">
        <v>45</v>
      </c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 t="s">
        <v>442</v>
      </c>
      <c r="S262" s="91" t="s">
        <v>442</v>
      </c>
      <c r="T262" s="91" t="s">
        <v>442</v>
      </c>
      <c r="U262" s="91"/>
      <c r="V262" s="91" t="s">
        <v>442</v>
      </c>
      <c r="W262" s="91"/>
      <c r="X262" s="91"/>
      <c r="Y262" s="91"/>
      <c r="Z262" s="91"/>
      <c r="AA262" s="91"/>
      <c r="AB262" s="91" t="s">
        <v>442</v>
      </c>
      <c r="AC262" s="91"/>
      <c r="AD262" s="91"/>
      <c r="AE262" s="8">
        <f t="shared" si="4"/>
        <v>56.4</v>
      </c>
      <c r="AF262" s="29"/>
    </row>
    <row r="263" spans="1:32" ht="16.5">
      <c r="A263" s="3" t="s">
        <v>313</v>
      </c>
      <c r="B263" s="4">
        <v>59</v>
      </c>
      <c r="C263" s="4">
        <v>73</v>
      </c>
      <c r="D263" s="4">
        <v>67</v>
      </c>
      <c r="E263" s="4">
        <v>72</v>
      </c>
      <c r="F263" s="4">
        <v>77</v>
      </c>
      <c r="G263" s="91"/>
      <c r="H263" s="91" t="s">
        <v>442</v>
      </c>
      <c r="I263" s="91" t="s">
        <v>442</v>
      </c>
      <c r="J263" s="91"/>
      <c r="K263" s="91"/>
      <c r="L263" s="91"/>
      <c r="M263" s="91" t="s">
        <v>442</v>
      </c>
      <c r="N263" s="91" t="s">
        <v>442</v>
      </c>
      <c r="O263" s="91"/>
      <c r="P263" s="91"/>
      <c r="Q263" s="91" t="s">
        <v>442</v>
      </c>
      <c r="R263" s="91"/>
      <c r="S263" s="91"/>
      <c r="T263" s="91" t="s">
        <v>442</v>
      </c>
      <c r="U263" s="91" t="s">
        <v>442</v>
      </c>
      <c r="V263" s="91" t="s">
        <v>442</v>
      </c>
      <c r="W263" s="91"/>
      <c r="X263" s="91"/>
      <c r="Y263" s="91"/>
      <c r="Z263" s="91" t="s">
        <v>442</v>
      </c>
      <c r="AA263" s="91"/>
      <c r="AB263" s="91"/>
      <c r="AC263" s="91"/>
      <c r="AD263" s="91" t="s">
        <v>442</v>
      </c>
      <c r="AE263" s="8">
        <f t="shared" si="4"/>
        <v>69.599999999999994</v>
      </c>
      <c r="AF263" s="29"/>
    </row>
    <row r="264" spans="1:32" ht="16.5">
      <c r="A264" s="3" t="s">
        <v>134</v>
      </c>
      <c r="B264" s="4">
        <v>64</v>
      </c>
      <c r="C264" s="4">
        <v>71</v>
      </c>
      <c r="D264" s="4">
        <v>36</v>
      </c>
      <c r="E264" s="4">
        <v>32</v>
      </c>
      <c r="F264" s="4">
        <v>60</v>
      </c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 t="s">
        <v>442</v>
      </c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8">
        <f t="shared" si="4"/>
        <v>52.6</v>
      </c>
      <c r="AF264" s="29"/>
    </row>
    <row r="265" spans="1:32" ht="16.5">
      <c r="A265" s="3" t="s">
        <v>317</v>
      </c>
      <c r="B265" s="4">
        <v>79</v>
      </c>
      <c r="C265" s="4">
        <v>73</v>
      </c>
      <c r="D265" s="4">
        <v>61</v>
      </c>
      <c r="E265" s="4">
        <v>55</v>
      </c>
      <c r="F265" s="4">
        <v>69</v>
      </c>
      <c r="G265" s="91"/>
      <c r="H265" s="91"/>
      <c r="I265" s="91"/>
      <c r="J265" s="91"/>
      <c r="K265" s="91" t="s">
        <v>442</v>
      </c>
      <c r="L265" s="91"/>
      <c r="M265" s="91"/>
      <c r="N265" s="91" t="s">
        <v>442</v>
      </c>
      <c r="O265" s="91" t="s">
        <v>442</v>
      </c>
      <c r="P265" s="91" t="s">
        <v>442</v>
      </c>
      <c r="Q265" s="91"/>
      <c r="R265" s="91" t="s">
        <v>442</v>
      </c>
      <c r="S265" s="91"/>
      <c r="T265" s="91" t="s">
        <v>442</v>
      </c>
      <c r="U265" s="91"/>
      <c r="V265" s="91"/>
      <c r="W265" s="91"/>
      <c r="X265" s="91"/>
      <c r="Y265" s="91"/>
      <c r="Z265" s="91"/>
      <c r="AA265" s="91"/>
      <c r="AB265" s="91" t="s">
        <v>442</v>
      </c>
      <c r="AC265" s="91"/>
      <c r="AD265" s="91"/>
      <c r="AE265" s="8">
        <f t="shared" si="4"/>
        <v>67.400000000000006</v>
      </c>
      <c r="AF265" s="29"/>
    </row>
    <row r="266" spans="1:32" ht="16.5">
      <c r="A266" s="3" t="s">
        <v>52</v>
      </c>
      <c r="B266" s="5">
        <v>88</v>
      </c>
      <c r="C266" s="5">
        <v>87</v>
      </c>
      <c r="D266" s="4">
        <v>70</v>
      </c>
      <c r="E266" s="4">
        <v>52</v>
      </c>
      <c r="F266" s="4">
        <v>76</v>
      </c>
      <c r="G266" s="91"/>
      <c r="H266" s="91"/>
      <c r="I266" s="91"/>
      <c r="J266" s="91"/>
      <c r="K266" s="91"/>
      <c r="L266" s="91"/>
      <c r="M266" s="91"/>
      <c r="N266" s="91" t="s">
        <v>442</v>
      </c>
      <c r="O266" s="91"/>
      <c r="P266" s="91"/>
      <c r="Q266" s="91" t="s">
        <v>442</v>
      </c>
      <c r="R266" s="91" t="s">
        <v>442</v>
      </c>
      <c r="S266" s="91"/>
      <c r="T266" s="91"/>
      <c r="U266" s="91" t="s">
        <v>442</v>
      </c>
      <c r="V266" s="91"/>
      <c r="W266" s="91"/>
      <c r="X266" s="91"/>
      <c r="Y266" s="91" t="s">
        <v>442</v>
      </c>
      <c r="Z266" s="91"/>
      <c r="AA266" s="91"/>
      <c r="AB266" s="91" t="s">
        <v>442</v>
      </c>
      <c r="AC266" s="91" t="s">
        <v>442</v>
      </c>
      <c r="AD266" s="91"/>
      <c r="AE266" s="8">
        <f t="shared" si="4"/>
        <v>74.599999999999994</v>
      </c>
      <c r="AF266" s="29"/>
    </row>
    <row r="267" spans="1:32" ht="16.5">
      <c r="A267" s="3" t="s">
        <v>94</v>
      </c>
      <c r="B267" s="4">
        <v>76</v>
      </c>
      <c r="C267" s="4">
        <v>70</v>
      </c>
      <c r="D267" s="4">
        <v>58</v>
      </c>
      <c r="E267" s="4">
        <v>65</v>
      </c>
      <c r="F267" s="4">
        <v>72</v>
      </c>
      <c r="G267" s="91"/>
      <c r="H267" s="91"/>
      <c r="I267" s="91"/>
      <c r="J267" s="91"/>
      <c r="K267" s="91"/>
      <c r="L267" s="91"/>
      <c r="M267" s="91"/>
      <c r="N267" s="91"/>
      <c r="O267" s="91"/>
      <c r="P267" s="91" t="s">
        <v>442</v>
      </c>
      <c r="Q267" s="91"/>
      <c r="R267" s="91"/>
      <c r="S267" s="91"/>
      <c r="T267" s="91" t="s">
        <v>442</v>
      </c>
      <c r="U267" s="91"/>
      <c r="V267" s="91" t="s">
        <v>442</v>
      </c>
      <c r="W267" s="91"/>
      <c r="X267" s="91"/>
      <c r="Y267" s="91"/>
      <c r="Z267" s="91"/>
      <c r="AA267" s="91"/>
      <c r="AB267" s="91"/>
      <c r="AC267" s="91"/>
      <c r="AD267" s="91"/>
      <c r="AE267" s="8">
        <f t="shared" si="4"/>
        <v>68.2</v>
      </c>
      <c r="AF267" s="29" t="s">
        <v>238</v>
      </c>
    </row>
    <row r="268" spans="1:32" ht="16.5">
      <c r="A268" s="3" t="s">
        <v>94</v>
      </c>
      <c r="B268" s="4">
        <v>30</v>
      </c>
      <c r="C268" s="4">
        <v>26</v>
      </c>
      <c r="D268" s="5">
        <v>82</v>
      </c>
      <c r="E268" s="4">
        <v>70</v>
      </c>
      <c r="F268" s="4">
        <v>51</v>
      </c>
      <c r="G268" s="91"/>
      <c r="H268" s="91" t="s">
        <v>442</v>
      </c>
      <c r="I268" s="91" t="s">
        <v>442</v>
      </c>
      <c r="J268" s="91" t="s">
        <v>442</v>
      </c>
      <c r="K268" s="91" t="s">
        <v>442</v>
      </c>
      <c r="L268" s="91"/>
      <c r="M268" s="91" t="s">
        <v>442</v>
      </c>
      <c r="N268" s="91"/>
      <c r="O268" s="91" t="s">
        <v>442</v>
      </c>
      <c r="P268" s="91"/>
      <c r="Q268" s="91"/>
      <c r="R268" s="91"/>
      <c r="S268" s="91"/>
      <c r="T268" s="91"/>
      <c r="U268" s="91"/>
      <c r="V268" s="91" t="s">
        <v>442</v>
      </c>
      <c r="W268" s="91"/>
      <c r="X268" s="91"/>
      <c r="Y268" s="91"/>
      <c r="Z268" s="91"/>
      <c r="AA268" s="91"/>
      <c r="AB268" s="91"/>
      <c r="AC268" s="91"/>
      <c r="AD268" s="91"/>
      <c r="AE268" s="8">
        <f t="shared" si="4"/>
        <v>51.8</v>
      </c>
      <c r="AF268" s="29" t="s">
        <v>239</v>
      </c>
    </row>
    <row r="269" spans="1:32" ht="16.5">
      <c r="A269" s="3" t="s">
        <v>401</v>
      </c>
      <c r="B269" s="4">
        <v>49</v>
      </c>
      <c r="C269" s="4">
        <v>42</v>
      </c>
      <c r="D269" s="4">
        <v>41</v>
      </c>
      <c r="E269" s="4">
        <v>62</v>
      </c>
      <c r="F269" s="4">
        <v>71</v>
      </c>
      <c r="G269" s="91"/>
      <c r="H269" s="91"/>
      <c r="I269" s="91" t="s">
        <v>442</v>
      </c>
      <c r="J269" s="91"/>
      <c r="K269" s="91"/>
      <c r="L269" s="91"/>
      <c r="M269" s="91" t="s">
        <v>442</v>
      </c>
      <c r="N269" s="91"/>
      <c r="O269" s="91" t="s">
        <v>442</v>
      </c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8">
        <f t="shared" si="4"/>
        <v>53</v>
      </c>
      <c r="AF269" s="29"/>
    </row>
    <row r="270" spans="1:32" ht="16.5">
      <c r="A270" s="3" t="s">
        <v>194</v>
      </c>
      <c r="B270" s="4">
        <v>44</v>
      </c>
      <c r="C270" s="4">
        <v>77</v>
      </c>
      <c r="D270" s="4">
        <v>44</v>
      </c>
      <c r="E270" s="4">
        <v>33</v>
      </c>
      <c r="F270" s="4">
        <v>72</v>
      </c>
      <c r="G270" s="91"/>
      <c r="H270" s="91"/>
      <c r="I270" s="91"/>
      <c r="J270" s="91"/>
      <c r="K270" s="91"/>
      <c r="L270" s="91"/>
      <c r="M270" s="91"/>
      <c r="N270" s="91" t="s">
        <v>442</v>
      </c>
      <c r="O270" s="91" t="s">
        <v>442</v>
      </c>
      <c r="P270" s="91"/>
      <c r="Q270" s="91" t="s">
        <v>442</v>
      </c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8">
        <f t="shared" si="4"/>
        <v>54</v>
      </c>
      <c r="AF270" s="29"/>
    </row>
    <row r="271" spans="1:32" ht="16.5">
      <c r="A271" s="3" t="s">
        <v>280</v>
      </c>
      <c r="B271" s="5">
        <v>80</v>
      </c>
      <c r="C271" s="6">
        <v>90</v>
      </c>
      <c r="D271" s="4">
        <v>40</v>
      </c>
      <c r="E271" s="4">
        <v>37</v>
      </c>
      <c r="F271" s="4">
        <v>55</v>
      </c>
      <c r="G271" s="91"/>
      <c r="H271" s="91"/>
      <c r="I271" s="91"/>
      <c r="J271" s="91"/>
      <c r="K271" s="91"/>
      <c r="L271" s="91"/>
      <c r="M271" s="91"/>
      <c r="N271" s="91" t="s">
        <v>442</v>
      </c>
      <c r="O271" s="91"/>
      <c r="P271" s="91"/>
      <c r="Q271" s="91" t="s">
        <v>442</v>
      </c>
      <c r="R271" s="91" t="s">
        <v>442</v>
      </c>
      <c r="S271" s="91"/>
      <c r="T271" s="91" t="s">
        <v>442</v>
      </c>
      <c r="U271" s="91" t="s">
        <v>442</v>
      </c>
      <c r="V271" s="91"/>
      <c r="W271" s="91"/>
      <c r="X271" s="91"/>
      <c r="Y271" s="91"/>
      <c r="Z271" s="91"/>
      <c r="AA271" s="91"/>
      <c r="AB271" s="91"/>
      <c r="AC271" s="91" t="s">
        <v>442</v>
      </c>
      <c r="AD271" s="91"/>
      <c r="AE271" s="8">
        <f t="shared" si="4"/>
        <v>60.4</v>
      </c>
      <c r="AF271" s="29"/>
    </row>
    <row r="272" spans="1:32" ht="16.5">
      <c r="A272" s="3" t="s">
        <v>51</v>
      </c>
      <c r="B272" s="5">
        <v>88</v>
      </c>
      <c r="C272" s="6">
        <v>93</v>
      </c>
      <c r="D272" s="4">
        <v>61</v>
      </c>
      <c r="E272" s="4">
        <v>54</v>
      </c>
      <c r="F272" s="4">
        <v>62</v>
      </c>
      <c r="G272" s="91"/>
      <c r="H272" s="91"/>
      <c r="I272" s="91"/>
      <c r="J272" s="91"/>
      <c r="K272" s="91"/>
      <c r="L272" s="91"/>
      <c r="M272" s="91"/>
      <c r="N272" s="91"/>
      <c r="O272" s="91"/>
      <c r="P272" s="91" t="s">
        <v>442</v>
      </c>
      <c r="Q272" s="91"/>
      <c r="R272" s="91" t="s">
        <v>442</v>
      </c>
      <c r="S272" s="91"/>
      <c r="T272" s="91"/>
      <c r="U272" s="91"/>
      <c r="V272" s="91"/>
      <c r="W272" s="91"/>
      <c r="X272" s="91"/>
      <c r="Y272" s="91" t="s">
        <v>442</v>
      </c>
      <c r="Z272" s="91"/>
      <c r="AA272" s="91"/>
      <c r="AB272" s="91"/>
      <c r="AC272" s="91" t="s">
        <v>442</v>
      </c>
      <c r="AD272" s="91"/>
      <c r="AE272" s="8">
        <f t="shared" si="4"/>
        <v>71.599999999999994</v>
      </c>
      <c r="AF272" s="29"/>
    </row>
    <row r="273" spans="1:32" ht="16.5">
      <c r="A273" s="3" t="s">
        <v>337</v>
      </c>
      <c r="B273" s="4">
        <v>60</v>
      </c>
      <c r="C273" s="4">
        <v>60</v>
      </c>
      <c r="D273" s="4">
        <v>57</v>
      </c>
      <c r="E273" s="4">
        <v>53</v>
      </c>
      <c r="F273" s="4">
        <v>63</v>
      </c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 t="s">
        <v>442</v>
      </c>
      <c r="R273" s="91"/>
      <c r="S273" s="91"/>
      <c r="T273" s="91" t="s">
        <v>442</v>
      </c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8">
        <f t="shared" si="4"/>
        <v>58.6</v>
      </c>
      <c r="AF273" s="29"/>
    </row>
    <row r="274" spans="1:32" ht="16.5">
      <c r="A274" s="3" t="s">
        <v>258</v>
      </c>
      <c r="B274" s="4">
        <v>56</v>
      </c>
      <c r="C274" s="4">
        <v>71</v>
      </c>
      <c r="D274" s="4">
        <v>31</v>
      </c>
      <c r="E274" s="4">
        <v>27</v>
      </c>
      <c r="F274" s="4">
        <v>29</v>
      </c>
      <c r="G274" s="91"/>
      <c r="H274" s="91"/>
      <c r="I274" s="91"/>
      <c r="J274" s="91"/>
      <c r="K274" s="91"/>
      <c r="L274" s="91"/>
      <c r="M274" s="91"/>
      <c r="N274" s="91" t="s">
        <v>442</v>
      </c>
      <c r="O274" s="91" t="s">
        <v>442</v>
      </c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8">
        <f t="shared" si="4"/>
        <v>42.8</v>
      </c>
      <c r="AF274" s="29"/>
    </row>
    <row r="275" spans="1:32" ht="16.5">
      <c r="A275" s="3" t="s">
        <v>121</v>
      </c>
      <c r="B275" s="4">
        <v>70</v>
      </c>
      <c r="C275" s="4">
        <v>64</v>
      </c>
      <c r="D275" s="4">
        <v>65</v>
      </c>
      <c r="E275" s="4">
        <v>41</v>
      </c>
      <c r="F275" s="4">
        <v>61</v>
      </c>
      <c r="G275" s="91"/>
      <c r="H275" s="91" t="s">
        <v>442</v>
      </c>
      <c r="I275" s="91"/>
      <c r="J275" s="91"/>
      <c r="K275" s="91"/>
      <c r="L275" s="91"/>
      <c r="M275" s="91"/>
      <c r="N275" s="91"/>
      <c r="O275" s="91" t="s">
        <v>442</v>
      </c>
      <c r="P275" s="91"/>
      <c r="Q275" s="91"/>
      <c r="R275" s="91"/>
      <c r="S275" s="91"/>
      <c r="T275" s="91"/>
      <c r="U275" s="91" t="s">
        <v>442</v>
      </c>
      <c r="V275" s="91" t="s">
        <v>442</v>
      </c>
      <c r="W275" s="91"/>
      <c r="X275" s="91"/>
      <c r="Y275" s="91"/>
      <c r="Z275" s="91"/>
      <c r="AA275" s="91"/>
      <c r="AB275" s="91"/>
      <c r="AC275" s="91"/>
      <c r="AD275" s="91"/>
      <c r="AE275" s="8">
        <f t="shared" si="4"/>
        <v>60.2</v>
      </c>
      <c r="AF275" s="29"/>
    </row>
    <row r="276" spans="1:32" ht="16.5">
      <c r="A276" s="3" t="s">
        <v>351</v>
      </c>
      <c r="B276" s="4">
        <v>45</v>
      </c>
      <c r="C276" s="4">
        <v>32</v>
      </c>
      <c r="D276" s="4">
        <v>71</v>
      </c>
      <c r="E276" s="5">
        <v>81</v>
      </c>
      <c r="F276" s="4">
        <v>74</v>
      </c>
      <c r="G276" s="91" t="s">
        <v>442</v>
      </c>
      <c r="H276" s="91" t="s">
        <v>442</v>
      </c>
      <c r="I276" s="91" t="s">
        <v>442</v>
      </c>
      <c r="J276" s="91" t="s">
        <v>442</v>
      </c>
      <c r="K276" s="91"/>
      <c r="L276" s="91"/>
      <c r="M276" s="91" t="s">
        <v>442</v>
      </c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 t="s">
        <v>442</v>
      </c>
      <c r="Z276" s="91"/>
      <c r="AA276" s="91"/>
      <c r="AB276" s="91" t="s">
        <v>442</v>
      </c>
      <c r="AC276" s="91"/>
      <c r="AD276" s="91"/>
      <c r="AE276" s="8">
        <f t="shared" si="4"/>
        <v>60.6</v>
      </c>
      <c r="AF276" s="29"/>
    </row>
    <row r="277" spans="1:32" ht="16.5">
      <c r="A277" s="3" t="s">
        <v>83</v>
      </c>
      <c r="B277" s="4">
        <v>70</v>
      </c>
      <c r="C277" s="4">
        <v>79</v>
      </c>
      <c r="D277" s="7">
        <v>68</v>
      </c>
      <c r="E277" s="4">
        <v>50</v>
      </c>
      <c r="F277" s="4">
        <v>67</v>
      </c>
      <c r="G277" s="91"/>
      <c r="H277" s="91"/>
      <c r="I277" s="91"/>
      <c r="J277" s="91"/>
      <c r="K277" s="91"/>
      <c r="L277" s="91"/>
      <c r="M277" s="91" t="s">
        <v>442</v>
      </c>
      <c r="N277" s="91"/>
      <c r="O277" s="91" t="s">
        <v>442</v>
      </c>
      <c r="P277" s="91"/>
      <c r="Q277" s="91"/>
      <c r="R277" s="91" t="s">
        <v>442</v>
      </c>
      <c r="S277" s="91" t="s">
        <v>442</v>
      </c>
      <c r="T277" s="91" t="s">
        <v>442</v>
      </c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8">
        <f t="shared" si="4"/>
        <v>66.8</v>
      </c>
      <c r="AF277" s="29"/>
    </row>
    <row r="278" spans="1:32" ht="16.5">
      <c r="A278" s="3" t="s">
        <v>41</v>
      </c>
      <c r="B278" s="4">
        <v>78</v>
      </c>
      <c r="C278" s="4">
        <v>53</v>
      </c>
      <c r="D278" s="5">
        <v>87</v>
      </c>
      <c r="E278" s="5">
        <v>88</v>
      </c>
      <c r="F278" s="5">
        <v>80</v>
      </c>
      <c r="G278" s="91" t="s">
        <v>442</v>
      </c>
      <c r="H278" s="91" t="s">
        <v>442</v>
      </c>
      <c r="I278" s="91" t="s">
        <v>442</v>
      </c>
      <c r="J278" s="91" t="s">
        <v>442</v>
      </c>
      <c r="K278" s="91" t="s">
        <v>442</v>
      </c>
      <c r="L278" s="91" t="s">
        <v>442</v>
      </c>
      <c r="M278" s="91"/>
      <c r="N278" s="91" t="s">
        <v>442</v>
      </c>
      <c r="O278" s="91"/>
      <c r="P278" s="91"/>
      <c r="Q278" s="91"/>
      <c r="R278" s="91"/>
      <c r="S278" s="91"/>
      <c r="T278" s="91" t="s">
        <v>442</v>
      </c>
      <c r="U278" s="91"/>
      <c r="V278" s="91" t="s">
        <v>442</v>
      </c>
      <c r="W278" s="91"/>
      <c r="X278" s="91"/>
      <c r="Y278" s="91"/>
      <c r="Z278" s="91"/>
      <c r="AA278" s="91"/>
      <c r="AB278" s="91" t="s">
        <v>442</v>
      </c>
      <c r="AC278" s="91"/>
      <c r="AD278" s="91" t="s">
        <v>442</v>
      </c>
      <c r="AE278" s="8">
        <f t="shared" si="4"/>
        <v>77.2</v>
      </c>
      <c r="AF278" s="29"/>
    </row>
    <row r="279" spans="1:32" ht="16.5">
      <c r="A279" s="3" t="s">
        <v>393</v>
      </c>
      <c r="B279" s="4">
        <v>66</v>
      </c>
      <c r="C279" s="4">
        <v>79</v>
      </c>
      <c r="D279" s="4">
        <v>65</v>
      </c>
      <c r="E279" s="4">
        <v>36</v>
      </c>
      <c r="F279" s="4">
        <v>63</v>
      </c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 t="s">
        <v>442</v>
      </c>
      <c r="T279" s="91"/>
      <c r="U279" s="91"/>
      <c r="V279" s="91"/>
      <c r="W279" s="91"/>
      <c r="X279" s="91"/>
      <c r="Y279" s="91"/>
      <c r="Z279" s="91" t="s">
        <v>442</v>
      </c>
      <c r="AA279" s="91"/>
      <c r="AB279" s="91"/>
      <c r="AC279" s="91"/>
      <c r="AD279" s="91"/>
      <c r="AE279" s="8">
        <f t="shared" si="4"/>
        <v>61.8</v>
      </c>
      <c r="AF279" s="29"/>
    </row>
    <row r="280" spans="1:32" ht="16.5">
      <c r="A280" s="3" t="s">
        <v>392</v>
      </c>
      <c r="B280" s="4">
        <v>69</v>
      </c>
      <c r="C280" s="4">
        <v>77</v>
      </c>
      <c r="D280" s="4">
        <v>66</v>
      </c>
      <c r="E280" s="4">
        <v>40</v>
      </c>
      <c r="F280" s="4">
        <v>63</v>
      </c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 t="s">
        <v>442</v>
      </c>
      <c r="T280" s="91" t="s">
        <v>442</v>
      </c>
      <c r="U280" s="91"/>
      <c r="V280" s="91"/>
      <c r="W280" s="91"/>
      <c r="X280" s="91"/>
      <c r="Y280" s="91" t="s">
        <v>442</v>
      </c>
      <c r="Z280" s="91"/>
      <c r="AA280" s="91"/>
      <c r="AB280" s="91"/>
      <c r="AC280" s="91"/>
      <c r="AD280" s="91"/>
      <c r="AE280" s="8">
        <f t="shared" si="4"/>
        <v>63</v>
      </c>
      <c r="AF280" s="29"/>
    </row>
    <row r="281" spans="1:32" ht="16.5">
      <c r="A281" s="3" t="s">
        <v>53</v>
      </c>
      <c r="B281" s="4">
        <v>74</v>
      </c>
      <c r="C281" s="6">
        <v>97</v>
      </c>
      <c r="D281" s="4">
        <v>33</v>
      </c>
      <c r="E281" s="4">
        <v>20</v>
      </c>
      <c r="F281" s="4">
        <v>56</v>
      </c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 t="s">
        <v>442</v>
      </c>
      <c r="S281" s="91"/>
      <c r="T281" s="91"/>
      <c r="U281" s="91" t="s">
        <v>442</v>
      </c>
      <c r="V281" s="91"/>
      <c r="W281" s="91"/>
      <c r="X281" s="91"/>
      <c r="Y281" s="91"/>
      <c r="Z281" s="91"/>
      <c r="AA281" s="91"/>
      <c r="AB281" s="91"/>
      <c r="AC281" s="91" t="s">
        <v>442</v>
      </c>
      <c r="AD281" s="91"/>
      <c r="AE281" s="8">
        <f t="shared" si="4"/>
        <v>56</v>
      </c>
      <c r="AF281" s="29"/>
    </row>
    <row r="282" spans="1:32" ht="16.5">
      <c r="A282" s="3" t="s">
        <v>284</v>
      </c>
      <c r="B282" s="4">
        <v>72</v>
      </c>
      <c r="C282" s="5">
        <v>82</v>
      </c>
      <c r="D282" s="4">
        <v>68</v>
      </c>
      <c r="E282" s="4">
        <v>36</v>
      </c>
      <c r="F282" s="4">
        <v>73</v>
      </c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 t="s">
        <v>442</v>
      </c>
      <c r="R282" s="91"/>
      <c r="S282" s="91" t="s">
        <v>442</v>
      </c>
      <c r="T282" s="91"/>
      <c r="U282" s="91"/>
      <c r="V282" s="91"/>
      <c r="W282" s="91"/>
      <c r="X282" s="91"/>
      <c r="Y282" s="91"/>
      <c r="Z282" s="91" t="s">
        <v>442</v>
      </c>
      <c r="AA282" s="91"/>
      <c r="AB282" s="91" t="s">
        <v>442</v>
      </c>
      <c r="AC282" s="91"/>
      <c r="AD282" s="91"/>
      <c r="AE282" s="8">
        <f t="shared" si="4"/>
        <v>66.2</v>
      </c>
      <c r="AF282" s="29"/>
    </row>
    <row r="283" spans="1:32" ht="16.5">
      <c r="A283" s="3" t="s">
        <v>189</v>
      </c>
      <c r="B283" s="4">
        <v>72</v>
      </c>
      <c r="C283" s="4">
        <v>73</v>
      </c>
      <c r="D283" s="4">
        <v>47</v>
      </c>
      <c r="E283" s="4">
        <v>59</v>
      </c>
      <c r="F283" s="4">
        <v>76</v>
      </c>
      <c r="G283" s="91"/>
      <c r="H283" s="91" t="s">
        <v>442</v>
      </c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 t="s">
        <v>442</v>
      </c>
      <c r="V283" s="91"/>
      <c r="W283" s="91"/>
      <c r="X283" s="91"/>
      <c r="Y283" s="91" t="s">
        <v>442</v>
      </c>
      <c r="Z283" s="91" t="s">
        <v>442</v>
      </c>
      <c r="AA283" s="91"/>
      <c r="AB283" s="91"/>
      <c r="AC283" s="91"/>
      <c r="AD283" s="91"/>
      <c r="AE283" s="8">
        <f t="shared" si="4"/>
        <v>65.400000000000006</v>
      </c>
      <c r="AF283" s="29"/>
    </row>
    <row r="284" spans="1:32" ht="16.5">
      <c r="A284" s="3" t="s">
        <v>38</v>
      </c>
      <c r="B284" s="5">
        <v>84</v>
      </c>
      <c r="C284" s="4">
        <v>44</v>
      </c>
      <c r="D284" s="6">
        <v>92</v>
      </c>
      <c r="E284" s="5">
        <v>82</v>
      </c>
      <c r="F284" s="4">
        <v>74</v>
      </c>
      <c r="G284" s="91" t="s">
        <v>442</v>
      </c>
      <c r="H284" s="91" t="s">
        <v>442</v>
      </c>
      <c r="I284" s="91" t="s">
        <v>442</v>
      </c>
      <c r="J284" s="91"/>
      <c r="K284" s="91" t="s">
        <v>442</v>
      </c>
      <c r="L284" s="91" t="s">
        <v>442</v>
      </c>
      <c r="M284" s="91" t="s">
        <v>442</v>
      </c>
      <c r="N284" s="91"/>
      <c r="O284" s="91" t="s">
        <v>442</v>
      </c>
      <c r="P284" s="91"/>
      <c r="Q284" s="91"/>
      <c r="R284" s="91"/>
      <c r="S284" s="91"/>
      <c r="T284" s="91" t="s">
        <v>442</v>
      </c>
      <c r="U284" s="91"/>
      <c r="V284" s="91"/>
      <c r="W284" s="91"/>
      <c r="X284" s="91"/>
      <c r="Y284" s="91" t="s">
        <v>442</v>
      </c>
      <c r="Z284" s="91" t="s">
        <v>442</v>
      </c>
      <c r="AA284" s="91"/>
      <c r="AB284" s="91" t="s">
        <v>442</v>
      </c>
      <c r="AC284" s="91"/>
      <c r="AD284" s="91" t="s">
        <v>442</v>
      </c>
      <c r="AE284" s="8">
        <f t="shared" si="4"/>
        <v>75.2</v>
      </c>
      <c r="AF284" s="29"/>
    </row>
    <row r="285" spans="1:32" ht="16.5">
      <c r="A285" s="3" t="s">
        <v>319</v>
      </c>
      <c r="B285" s="4">
        <v>58</v>
      </c>
      <c r="C285" s="4">
        <v>44</v>
      </c>
      <c r="D285" s="5">
        <v>80</v>
      </c>
      <c r="E285" s="4">
        <v>66</v>
      </c>
      <c r="F285" s="4">
        <v>71</v>
      </c>
      <c r="G285" s="91"/>
      <c r="H285" s="91" t="s">
        <v>442</v>
      </c>
      <c r="I285" s="91"/>
      <c r="J285" s="91"/>
      <c r="K285" s="91"/>
      <c r="L285" s="91"/>
      <c r="M285" s="91" t="s">
        <v>442</v>
      </c>
      <c r="N285" s="91"/>
      <c r="O285" s="91"/>
      <c r="P285" s="91"/>
      <c r="Q285" s="91"/>
      <c r="R285" s="91"/>
      <c r="S285" s="91"/>
      <c r="T285" s="91" t="s">
        <v>442</v>
      </c>
      <c r="U285" s="91"/>
      <c r="V285" s="91" t="s">
        <v>442</v>
      </c>
      <c r="W285" s="91"/>
      <c r="X285" s="91"/>
      <c r="Y285" s="91"/>
      <c r="Z285" s="91"/>
      <c r="AA285" s="91"/>
      <c r="AB285" s="91"/>
      <c r="AC285" s="91"/>
      <c r="AD285" s="91" t="s">
        <v>442</v>
      </c>
      <c r="AE285" s="8">
        <f t="shared" si="4"/>
        <v>63.8</v>
      </c>
      <c r="AF285" s="29"/>
    </row>
    <row r="286" spans="1:32" ht="16.5">
      <c r="A286" s="3" t="s">
        <v>245</v>
      </c>
      <c r="B286" s="4">
        <v>21</v>
      </c>
      <c r="C286" s="4">
        <v>17</v>
      </c>
      <c r="D286" s="4">
        <v>68</v>
      </c>
      <c r="E286" s="4">
        <v>69</v>
      </c>
      <c r="F286" s="4">
        <v>78</v>
      </c>
      <c r="G286" s="91" t="s">
        <v>442</v>
      </c>
      <c r="H286" s="91"/>
      <c r="I286" s="91" t="s">
        <v>442</v>
      </c>
      <c r="J286" s="91" t="s">
        <v>442</v>
      </c>
      <c r="K286" s="91" t="s">
        <v>442</v>
      </c>
      <c r="L286" s="91"/>
      <c r="M286" s="91"/>
      <c r="N286" s="91"/>
      <c r="O286" s="91" t="s">
        <v>442</v>
      </c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8">
        <f t="shared" si="4"/>
        <v>50.6</v>
      </c>
      <c r="AF286" s="29"/>
    </row>
    <row r="287" spans="1:32" ht="16.5">
      <c r="A287" s="3" t="s">
        <v>1</v>
      </c>
      <c r="B287" s="5">
        <v>85</v>
      </c>
      <c r="C287" s="4">
        <v>68</v>
      </c>
      <c r="D287" s="5">
        <v>82</v>
      </c>
      <c r="E287" s="4">
        <v>72</v>
      </c>
      <c r="F287" s="5">
        <v>86</v>
      </c>
      <c r="G287" s="91"/>
      <c r="H287" s="91" t="s">
        <v>442</v>
      </c>
      <c r="I287" s="91"/>
      <c r="J287" s="91"/>
      <c r="K287" s="91"/>
      <c r="L287" s="91"/>
      <c r="M287" s="91" t="s">
        <v>442</v>
      </c>
      <c r="N287" s="91"/>
      <c r="O287" s="91"/>
      <c r="P287" s="91" t="s">
        <v>442</v>
      </c>
      <c r="Q287" s="91"/>
      <c r="R287" s="91"/>
      <c r="S287" s="91" t="s">
        <v>442</v>
      </c>
      <c r="T287" s="91"/>
      <c r="U287" s="91"/>
      <c r="V287" s="91" t="s">
        <v>442</v>
      </c>
      <c r="W287" s="91"/>
      <c r="X287" s="91"/>
      <c r="Y287" s="91"/>
      <c r="Z287" s="91" t="s">
        <v>442</v>
      </c>
      <c r="AA287" s="91"/>
      <c r="AB287" s="91" t="s">
        <v>442</v>
      </c>
      <c r="AC287" s="91"/>
      <c r="AD287" s="91"/>
      <c r="AE287" s="8">
        <f t="shared" si="4"/>
        <v>78.599999999999994</v>
      </c>
      <c r="AF287" s="29"/>
    </row>
    <row r="288" spans="1:32" ht="16.5">
      <c r="A288" s="3" t="s">
        <v>311</v>
      </c>
      <c r="B288" s="4">
        <v>68</v>
      </c>
      <c r="C288" s="5">
        <v>80</v>
      </c>
      <c r="D288" s="4">
        <v>64</v>
      </c>
      <c r="E288" s="4">
        <v>72</v>
      </c>
      <c r="F288" s="4">
        <v>71</v>
      </c>
      <c r="G288" s="91"/>
      <c r="H288" s="91"/>
      <c r="I288" s="91" t="s">
        <v>442</v>
      </c>
      <c r="J288" s="91"/>
      <c r="K288" s="91" t="s">
        <v>442</v>
      </c>
      <c r="L288" s="91"/>
      <c r="M288" s="91"/>
      <c r="N288" s="91"/>
      <c r="O288" s="91"/>
      <c r="P288" s="91"/>
      <c r="Q288" s="91"/>
      <c r="R288" s="91" t="s">
        <v>442</v>
      </c>
      <c r="S288" s="91" t="s">
        <v>442</v>
      </c>
      <c r="T288" s="91" t="s">
        <v>442</v>
      </c>
      <c r="U288" s="91"/>
      <c r="V288" s="91" t="s">
        <v>442</v>
      </c>
      <c r="W288" s="91"/>
      <c r="X288" s="91"/>
      <c r="Y288" s="91"/>
      <c r="Z288" s="91"/>
      <c r="AA288" s="91"/>
      <c r="AB288" s="91"/>
      <c r="AC288" s="91" t="s">
        <v>442</v>
      </c>
      <c r="AD288" s="91"/>
      <c r="AE288" s="8">
        <f t="shared" si="4"/>
        <v>71</v>
      </c>
      <c r="AF288" s="29"/>
    </row>
    <row r="289" spans="1:32" ht="16.5">
      <c r="A289" s="3" t="s">
        <v>40</v>
      </c>
      <c r="B289" s="5">
        <v>82</v>
      </c>
      <c r="C289" s="4">
        <v>25</v>
      </c>
      <c r="D289" s="6">
        <v>91</v>
      </c>
      <c r="E289" s="5">
        <v>80</v>
      </c>
      <c r="F289" s="4">
        <v>74</v>
      </c>
      <c r="G289" s="91"/>
      <c r="H289" s="91" t="s">
        <v>442</v>
      </c>
      <c r="I289" s="91" t="s">
        <v>442</v>
      </c>
      <c r="J289" s="91" t="s">
        <v>442</v>
      </c>
      <c r="K289" s="91" t="s">
        <v>442</v>
      </c>
      <c r="L289" s="91" t="s">
        <v>442</v>
      </c>
      <c r="M289" s="91" t="s">
        <v>442</v>
      </c>
      <c r="N289" s="91" t="s">
        <v>442</v>
      </c>
      <c r="O289" s="91" t="s">
        <v>442</v>
      </c>
      <c r="P289" s="91"/>
      <c r="Q289" s="91"/>
      <c r="R289" s="91"/>
      <c r="S289" s="91"/>
      <c r="T289" s="91" t="s">
        <v>442</v>
      </c>
      <c r="U289" s="91"/>
      <c r="V289" s="91"/>
      <c r="W289" s="91"/>
      <c r="X289" s="91"/>
      <c r="Y289" s="91" t="s">
        <v>442</v>
      </c>
      <c r="Z289" s="91" t="s">
        <v>442</v>
      </c>
      <c r="AA289" s="91"/>
      <c r="AB289" s="91" t="s">
        <v>442</v>
      </c>
      <c r="AC289" s="91"/>
      <c r="AD289" s="91" t="s">
        <v>442</v>
      </c>
      <c r="AE289" s="8">
        <f t="shared" si="4"/>
        <v>70.400000000000006</v>
      </c>
      <c r="AF289" s="29"/>
    </row>
    <row r="290" spans="1:32" ht="16.5">
      <c r="A290" s="3" t="s">
        <v>142</v>
      </c>
      <c r="B290" s="4">
        <v>63</v>
      </c>
      <c r="C290" s="4">
        <v>68</v>
      </c>
      <c r="D290" s="4">
        <v>35</v>
      </c>
      <c r="E290" s="4">
        <v>31</v>
      </c>
      <c r="F290" s="4">
        <v>45</v>
      </c>
      <c r="G290" s="91"/>
      <c r="H290" s="91"/>
      <c r="I290" s="91"/>
      <c r="J290" s="91"/>
      <c r="K290" s="91"/>
      <c r="L290" s="91"/>
      <c r="M290" s="91"/>
      <c r="N290" s="91"/>
      <c r="O290" s="91"/>
      <c r="P290" s="91" t="s">
        <v>442</v>
      </c>
      <c r="Q290" s="91"/>
      <c r="R290" s="91"/>
      <c r="S290" s="91"/>
      <c r="T290" s="91" t="s">
        <v>442</v>
      </c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8">
        <f t="shared" si="4"/>
        <v>48.4</v>
      </c>
      <c r="AF290" s="29"/>
    </row>
    <row r="291" spans="1:32" ht="16.5">
      <c r="A291" s="3" t="s">
        <v>304</v>
      </c>
      <c r="B291" s="4">
        <v>68</v>
      </c>
      <c r="C291" s="4">
        <v>50</v>
      </c>
      <c r="D291" s="6">
        <v>91</v>
      </c>
      <c r="E291" s="5">
        <v>83</v>
      </c>
      <c r="F291" s="4">
        <v>76</v>
      </c>
      <c r="G291" s="91" t="s">
        <v>442</v>
      </c>
      <c r="H291" s="91" t="s">
        <v>442</v>
      </c>
      <c r="I291" s="91"/>
      <c r="J291" s="91"/>
      <c r="K291" s="91" t="s">
        <v>442</v>
      </c>
      <c r="L291" s="91" t="s">
        <v>442</v>
      </c>
      <c r="M291" s="91" t="s">
        <v>442</v>
      </c>
      <c r="N291" s="91"/>
      <c r="O291" s="91" t="s">
        <v>442</v>
      </c>
      <c r="P291" s="91"/>
      <c r="Q291" s="91"/>
      <c r="R291" s="91"/>
      <c r="S291" s="91" t="s">
        <v>442</v>
      </c>
      <c r="T291" s="91"/>
      <c r="U291" s="91"/>
      <c r="V291" s="91" t="s">
        <v>442</v>
      </c>
      <c r="W291" s="91"/>
      <c r="X291" s="91"/>
      <c r="Y291" s="91"/>
      <c r="Z291" s="91" t="s">
        <v>442</v>
      </c>
      <c r="AA291" s="91"/>
      <c r="AB291" s="91"/>
      <c r="AC291" s="91" t="s">
        <v>442</v>
      </c>
      <c r="AD291" s="91" t="s">
        <v>442</v>
      </c>
      <c r="AE291" s="8">
        <f t="shared" si="4"/>
        <v>73.599999999999994</v>
      </c>
      <c r="AF291" s="29"/>
    </row>
    <row r="292" spans="1:32" ht="16.5">
      <c r="A292" s="3" t="s">
        <v>223</v>
      </c>
      <c r="B292" s="4">
        <v>56</v>
      </c>
      <c r="C292" s="4">
        <v>47</v>
      </c>
      <c r="D292" s="5">
        <v>89</v>
      </c>
      <c r="E292" s="6">
        <v>90</v>
      </c>
      <c r="F292" s="6">
        <v>94</v>
      </c>
      <c r="G292" s="91" t="s">
        <v>442</v>
      </c>
      <c r="H292" s="91" t="s">
        <v>442</v>
      </c>
      <c r="I292" s="91" t="s">
        <v>442</v>
      </c>
      <c r="J292" s="91"/>
      <c r="K292" s="91"/>
      <c r="L292" s="91"/>
      <c r="M292" s="91"/>
      <c r="N292" s="91"/>
      <c r="O292" s="91" t="s">
        <v>442</v>
      </c>
      <c r="P292" s="91"/>
      <c r="Q292" s="91"/>
      <c r="R292" s="91"/>
      <c r="S292" s="91" t="s">
        <v>442</v>
      </c>
      <c r="T292" s="91" t="s">
        <v>442</v>
      </c>
      <c r="U292" s="91"/>
      <c r="V292" s="91"/>
      <c r="W292" s="91"/>
      <c r="X292" s="91"/>
      <c r="Y292" s="91"/>
      <c r="Z292" s="91" t="s">
        <v>442</v>
      </c>
      <c r="AA292" s="91"/>
      <c r="AB292" s="91" t="s">
        <v>442</v>
      </c>
      <c r="AC292" s="91"/>
      <c r="AD292" s="91"/>
      <c r="AE292" s="8">
        <f t="shared" si="4"/>
        <v>75.2</v>
      </c>
      <c r="AF292" s="29"/>
    </row>
    <row r="293" spans="1:32" ht="16.5">
      <c r="A293" s="3" t="s">
        <v>270</v>
      </c>
      <c r="B293" s="6">
        <v>97</v>
      </c>
      <c r="C293" s="4">
        <v>55</v>
      </c>
      <c r="D293" s="6">
        <v>100</v>
      </c>
      <c r="E293" s="6">
        <v>96</v>
      </c>
      <c r="F293" s="6">
        <v>96</v>
      </c>
      <c r="G293" s="91" t="s">
        <v>442</v>
      </c>
      <c r="H293" s="91" t="s">
        <v>442</v>
      </c>
      <c r="I293" s="91" t="s">
        <v>442</v>
      </c>
      <c r="J293" s="91" t="s">
        <v>442</v>
      </c>
      <c r="K293" s="91" t="s">
        <v>442</v>
      </c>
      <c r="L293" s="91" t="s">
        <v>442</v>
      </c>
      <c r="M293" s="91" t="s">
        <v>442</v>
      </c>
      <c r="N293" s="91" t="s">
        <v>442</v>
      </c>
      <c r="O293" s="91" t="s">
        <v>442</v>
      </c>
      <c r="P293" s="91" t="s">
        <v>442</v>
      </c>
      <c r="Q293" s="91"/>
      <c r="R293" s="91"/>
      <c r="S293" s="91" t="s">
        <v>442</v>
      </c>
      <c r="T293" s="91" t="s">
        <v>442</v>
      </c>
      <c r="U293" s="91" t="s">
        <v>442</v>
      </c>
      <c r="V293" s="91" t="s">
        <v>442</v>
      </c>
      <c r="W293" s="91" t="s">
        <v>442</v>
      </c>
      <c r="X293" s="91" t="s">
        <v>442</v>
      </c>
      <c r="Y293" s="91" t="s">
        <v>442</v>
      </c>
      <c r="Z293" s="91" t="s">
        <v>442</v>
      </c>
      <c r="AA293" s="91"/>
      <c r="AB293" s="91" t="s">
        <v>442</v>
      </c>
      <c r="AC293" s="91" t="s">
        <v>442</v>
      </c>
      <c r="AD293" s="91" t="s">
        <v>442</v>
      </c>
      <c r="AE293" s="8">
        <f t="shared" si="4"/>
        <v>88.8</v>
      </c>
      <c r="AF293" s="29"/>
    </row>
    <row r="294" spans="1:32" ht="16.5">
      <c r="A294" s="3" t="s">
        <v>386</v>
      </c>
      <c r="B294" s="4">
        <v>74</v>
      </c>
      <c r="C294" s="5">
        <v>82</v>
      </c>
      <c r="D294" s="4">
        <v>71</v>
      </c>
      <c r="E294" s="4">
        <v>59</v>
      </c>
      <c r="F294" s="5">
        <v>84</v>
      </c>
      <c r="G294" s="91"/>
      <c r="H294" s="91"/>
      <c r="I294" s="91" t="s">
        <v>442</v>
      </c>
      <c r="J294" s="91"/>
      <c r="K294" s="91"/>
      <c r="L294" s="91"/>
      <c r="M294" s="91"/>
      <c r="N294" s="91" t="s">
        <v>442</v>
      </c>
      <c r="O294" s="91"/>
      <c r="P294" s="91"/>
      <c r="Q294" s="91" t="s">
        <v>442</v>
      </c>
      <c r="R294" s="91" t="s">
        <v>442</v>
      </c>
      <c r="S294" s="91"/>
      <c r="T294" s="91"/>
      <c r="U294" s="91"/>
      <c r="V294" s="91" t="s">
        <v>442</v>
      </c>
      <c r="W294" s="91"/>
      <c r="X294" s="91"/>
      <c r="Y294" s="91" t="s">
        <v>442</v>
      </c>
      <c r="Z294" s="91"/>
      <c r="AA294" s="91"/>
      <c r="AB294" s="91"/>
      <c r="AC294" s="91" t="s">
        <v>442</v>
      </c>
      <c r="AD294" s="91"/>
      <c r="AE294" s="8">
        <f t="shared" si="4"/>
        <v>74</v>
      </c>
      <c r="AF294" s="29"/>
    </row>
    <row r="295" spans="1:32" ht="16.5">
      <c r="A295" s="3" t="s">
        <v>241</v>
      </c>
      <c r="B295" s="4">
        <v>51</v>
      </c>
      <c r="C295" s="4">
        <v>56</v>
      </c>
      <c r="D295" s="4">
        <v>70</v>
      </c>
      <c r="E295" s="4">
        <v>64</v>
      </c>
      <c r="F295" s="4">
        <v>74</v>
      </c>
      <c r="G295" s="91"/>
      <c r="H295" s="91" t="s">
        <v>442</v>
      </c>
      <c r="I295" s="91" t="s">
        <v>442</v>
      </c>
      <c r="J295" s="91" t="s">
        <v>442</v>
      </c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 t="s">
        <v>442</v>
      </c>
      <c r="AC295" s="91"/>
      <c r="AD295" s="91"/>
      <c r="AE295" s="8">
        <f t="shared" si="4"/>
        <v>63</v>
      </c>
      <c r="AF295" s="29"/>
    </row>
    <row r="296" spans="1:32" ht="16.5">
      <c r="A296" s="3" t="s">
        <v>73</v>
      </c>
      <c r="B296" s="4">
        <v>60</v>
      </c>
      <c r="C296" s="4">
        <v>70</v>
      </c>
      <c r="D296" s="4">
        <v>62</v>
      </c>
      <c r="E296" s="4">
        <v>58</v>
      </c>
      <c r="F296" s="5">
        <v>83</v>
      </c>
      <c r="G296" s="91"/>
      <c r="H296" s="91"/>
      <c r="I296" s="91"/>
      <c r="J296" s="91"/>
      <c r="K296" s="91"/>
      <c r="L296" s="91"/>
      <c r="M296" s="91"/>
      <c r="N296" s="91"/>
      <c r="O296" s="91" t="s">
        <v>442</v>
      </c>
      <c r="P296" s="91"/>
      <c r="Q296" s="91" t="s">
        <v>442</v>
      </c>
      <c r="R296" s="91"/>
      <c r="S296" s="91" t="s">
        <v>442</v>
      </c>
      <c r="T296" s="91" t="s">
        <v>442</v>
      </c>
      <c r="U296" s="91"/>
      <c r="V296" s="91"/>
      <c r="W296" s="91"/>
      <c r="X296" s="91"/>
      <c r="Y296" s="91"/>
      <c r="Z296" s="91" t="s">
        <v>442</v>
      </c>
      <c r="AA296" s="91"/>
      <c r="AB296" s="91"/>
      <c r="AC296" s="91"/>
      <c r="AD296" s="91"/>
      <c r="AE296" s="8">
        <f t="shared" si="4"/>
        <v>66.599999999999994</v>
      </c>
      <c r="AF296" s="29"/>
    </row>
    <row r="297" spans="1:32" ht="16.5">
      <c r="A297" s="3" t="s">
        <v>156</v>
      </c>
      <c r="B297" s="4">
        <v>48</v>
      </c>
      <c r="C297" s="4">
        <v>50</v>
      </c>
      <c r="D297" s="4">
        <v>53</v>
      </c>
      <c r="E297" s="4">
        <v>58</v>
      </c>
      <c r="F297" s="4">
        <v>41</v>
      </c>
      <c r="G297" s="91"/>
      <c r="H297" s="91"/>
      <c r="I297" s="91"/>
      <c r="J297" s="91"/>
      <c r="K297" s="91"/>
      <c r="L297" s="91"/>
      <c r="M297" s="91"/>
      <c r="N297" s="91"/>
      <c r="O297" s="91"/>
      <c r="P297" s="91" t="s">
        <v>442</v>
      </c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 t="s">
        <v>442</v>
      </c>
      <c r="AC297" s="91"/>
      <c r="AD297" s="91"/>
      <c r="AE297" s="8">
        <f t="shared" si="4"/>
        <v>50</v>
      </c>
      <c r="AF297" s="29"/>
    </row>
    <row r="298" spans="1:32" ht="16.5">
      <c r="A298" s="3" t="s">
        <v>279</v>
      </c>
      <c r="B298" s="4">
        <v>76</v>
      </c>
      <c r="C298" s="4">
        <v>75</v>
      </c>
      <c r="D298" s="4">
        <v>64</v>
      </c>
      <c r="E298" s="5">
        <v>80</v>
      </c>
      <c r="F298" s="4">
        <v>77</v>
      </c>
      <c r="G298" s="91"/>
      <c r="H298" s="91" t="s">
        <v>442</v>
      </c>
      <c r="I298" s="91" t="s">
        <v>442</v>
      </c>
      <c r="J298" s="91" t="s">
        <v>442</v>
      </c>
      <c r="K298" s="91" t="s">
        <v>442</v>
      </c>
      <c r="L298" s="91"/>
      <c r="M298" s="91"/>
      <c r="N298" s="91"/>
      <c r="O298" s="91"/>
      <c r="P298" s="91"/>
      <c r="Q298" s="91"/>
      <c r="R298" s="91" t="s">
        <v>442</v>
      </c>
      <c r="S298" s="91"/>
      <c r="T298" s="91"/>
      <c r="U298" s="91"/>
      <c r="V298" s="91" t="s">
        <v>442</v>
      </c>
      <c r="W298" s="91"/>
      <c r="X298" s="91"/>
      <c r="Y298" s="91" t="s">
        <v>442</v>
      </c>
      <c r="Z298" s="91"/>
      <c r="AA298" s="91"/>
      <c r="AB298" s="91" t="s">
        <v>442</v>
      </c>
      <c r="AC298" s="91"/>
      <c r="AD298" s="91" t="s">
        <v>442</v>
      </c>
      <c r="AE298" s="8">
        <f t="shared" si="4"/>
        <v>74.400000000000006</v>
      </c>
      <c r="AF298" s="29"/>
    </row>
    <row r="299" spans="1:32" ht="16.5">
      <c r="A299" s="3" t="s">
        <v>408</v>
      </c>
      <c r="B299" s="4">
        <v>57</v>
      </c>
      <c r="C299" s="4">
        <v>64</v>
      </c>
      <c r="D299" s="4">
        <v>50</v>
      </c>
      <c r="E299" s="4">
        <v>49</v>
      </c>
      <c r="F299" s="4">
        <v>61</v>
      </c>
      <c r="G299" s="91"/>
      <c r="H299" s="91"/>
      <c r="I299" s="91"/>
      <c r="J299" s="91" t="s">
        <v>442</v>
      </c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8">
        <f t="shared" si="4"/>
        <v>56.2</v>
      </c>
      <c r="AF299" s="29"/>
    </row>
    <row r="300" spans="1:32" ht="16.5">
      <c r="A300" s="3" t="s">
        <v>146</v>
      </c>
      <c r="B300" s="4">
        <v>55</v>
      </c>
      <c r="C300" s="4">
        <v>62</v>
      </c>
      <c r="D300" s="4">
        <v>51</v>
      </c>
      <c r="E300" s="4">
        <v>44</v>
      </c>
      <c r="F300" s="4">
        <v>49</v>
      </c>
      <c r="G300" s="91"/>
      <c r="H300" s="91"/>
      <c r="I300" s="91"/>
      <c r="J300" s="91"/>
      <c r="K300" s="91"/>
      <c r="L300" s="91"/>
      <c r="M300" s="91" t="s">
        <v>442</v>
      </c>
      <c r="N300" s="91"/>
      <c r="O300" s="91"/>
      <c r="P300" s="91"/>
      <c r="Q300" s="91" t="s">
        <v>442</v>
      </c>
      <c r="R300" s="91"/>
      <c r="S300" s="91"/>
      <c r="T300" s="91"/>
      <c r="U300" s="91"/>
      <c r="V300" s="91" t="s">
        <v>442</v>
      </c>
      <c r="W300" s="91"/>
      <c r="X300" s="91"/>
      <c r="Y300" s="91"/>
      <c r="Z300" s="91"/>
      <c r="AA300" s="91"/>
      <c r="AB300" s="91"/>
      <c r="AC300" s="91"/>
      <c r="AD300" s="91"/>
      <c r="AE300" s="8">
        <f t="shared" si="4"/>
        <v>52.2</v>
      </c>
      <c r="AF300" s="29"/>
    </row>
    <row r="301" spans="1:32" ht="16.5">
      <c r="A301" s="3" t="s">
        <v>315</v>
      </c>
      <c r="B301" s="4">
        <v>20</v>
      </c>
      <c r="C301" s="4">
        <v>14</v>
      </c>
      <c r="D301" s="5">
        <v>89</v>
      </c>
      <c r="E301" s="4">
        <v>75</v>
      </c>
      <c r="F301" s="5">
        <v>82</v>
      </c>
      <c r="G301" s="91" t="s">
        <v>442</v>
      </c>
      <c r="H301" s="91"/>
      <c r="I301" s="91" t="s">
        <v>442</v>
      </c>
      <c r="J301" s="91" t="s">
        <v>442</v>
      </c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 t="s">
        <v>442</v>
      </c>
      <c r="AA301" s="91"/>
      <c r="AB301" s="91"/>
      <c r="AC301" s="91"/>
      <c r="AD301" s="91"/>
      <c r="AE301" s="8">
        <f t="shared" si="4"/>
        <v>56</v>
      </c>
      <c r="AF301" s="29"/>
    </row>
    <row r="302" spans="1:32" ht="16.5">
      <c r="A302" s="3" t="s">
        <v>207</v>
      </c>
      <c r="B302" s="4">
        <v>54</v>
      </c>
      <c r="C302" s="4">
        <v>60</v>
      </c>
      <c r="D302" s="4">
        <v>53</v>
      </c>
      <c r="E302" s="4">
        <v>49</v>
      </c>
      <c r="F302" s="4">
        <v>68</v>
      </c>
      <c r="G302" s="91"/>
      <c r="H302" s="91"/>
      <c r="I302" s="91"/>
      <c r="J302" s="91"/>
      <c r="K302" s="91"/>
      <c r="L302" s="91"/>
      <c r="M302" s="91"/>
      <c r="N302" s="91"/>
      <c r="O302" s="91" t="s">
        <v>442</v>
      </c>
      <c r="P302" s="91"/>
      <c r="Q302" s="91" t="s">
        <v>442</v>
      </c>
      <c r="R302" s="91"/>
      <c r="S302" s="91"/>
      <c r="T302" s="91"/>
      <c r="U302" s="91"/>
      <c r="V302" s="91"/>
      <c r="W302" s="91"/>
      <c r="X302" s="91"/>
      <c r="Y302" s="91" t="s">
        <v>442</v>
      </c>
      <c r="Z302" s="91"/>
      <c r="AA302" s="91"/>
      <c r="AB302" s="91"/>
      <c r="AC302" s="91"/>
      <c r="AD302" s="91"/>
      <c r="AE302" s="8">
        <f t="shared" si="4"/>
        <v>56.8</v>
      </c>
      <c r="AF302" s="29"/>
    </row>
    <row r="303" spans="1:32" ht="16.5">
      <c r="A303" s="3" t="s">
        <v>353</v>
      </c>
      <c r="B303" s="4">
        <v>62</v>
      </c>
      <c r="C303" s="4">
        <v>65</v>
      </c>
      <c r="D303" s="5">
        <v>80</v>
      </c>
      <c r="E303" s="4">
        <v>73</v>
      </c>
      <c r="F303" s="4">
        <v>73</v>
      </c>
      <c r="G303" s="91"/>
      <c r="H303" s="91" t="s">
        <v>442</v>
      </c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 t="s">
        <v>442</v>
      </c>
      <c r="AC303" s="91"/>
      <c r="AD303" s="91"/>
      <c r="AE303" s="8">
        <f t="shared" si="4"/>
        <v>70.599999999999994</v>
      </c>
      <c r="AF303" s="29"/>
    </row>
    <row r="304" spans="1:32" ht="16.5">
      <c r="A304" s="3" t="s">
        <v>394</v>
      </c>
      <c r="B304" s="4">
        <v>62</v>
      </c>
      <c r="C304" s="4">
        <v>69</v>
      </c>
      <c r="D304" s="4">
        <v>67</v>
      </c>
      <c r="E304" s="4">
        <v>71</v>
      </c>
      <c r="F304" s="4">
        <v>75</v>
      </c>
      <c r="G304" s="91"/>
      <c r="H304" s="91" t="s">
        <v>442</v>
      </c>
      <c r="I304" s="91" t="s">
        <v>442</v>
      </c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8">
        <f t="shared" si="4"/>
        <v>68.8</v>
      </c>
      <c r="AF304" s="29"/>
    </row>
    <row r="305" spans="1:32" ht="16.5">
      <c r="A305" s="3" t="s">
        <v>167</v>
      </c>
      <c r="B305" s="6">
        <v>96</v>
      </c>
      <c r="C305" s="6">
        <v>98</v>
      </c>
      <c r="D305" s="5">
        <v>85</v>
      </c>
      <c r="E305" s="5">
        <v>80</v>
      </c>
      <c r="F305" s="6">
        <v>95</v>
      </c>
      <c r="G305" s="91"/>
      <c r="H305" s="91" t="s">
        <v>442</v>
      </c>
      <c r="I305" s="91" t="s">
        <v>442</v>
      </c>
      <c r="J305" s="91"/>
      <c r="K305" s="91"/>
      <c r="L305" s="91"/>
      <c r="M305" s="91" t="s">
        <v>442</v>
      </c>
      <c r="N305" s="91" t="s">
        <v>442</v>
      </c>
      <c r="O305" s="91" t="s">
        <v>442</v>
      </c>
      <c r="P305" s="91" t="s">
        <v>442</v>
      </c>
      <c r="Q305" s="91" t="s">
        <v>442</v>
      </c>
      <c r="R305" s="91" t="s">
        <v>442</v>
      </c>
      <c r="S305" s="91"/>
      <c r="T305" s="91" t="s">
        <v>442</v>
      </c>
      <c r="U305" s="91" t="s">
        <v>442</v>
      </c>
      <c r="V305" s="91" t="s">
        <v>442</v>
      </c>
      <c r="W305" s="91"/>
      <c r="X305" s="91"/>
      <c r="Y305" s="91" t="s">
        <v>442</v>
      </c>
      <c r="Z305" s="91" t="s">
        <v>442</v>
      </c>
      <c r="AA305" s="91"/>
      <c r="AB305" s="91" t="s">
        <v>442</v>
      </c>
      <c r="AC305" s="91"/>
      <c r="AD305" s="91" t="s">
        <v>442</v>
      </c>
      <c r="AE305" s="8">
        <f t="shared" si="4"/>
        <v>90.8</v>
      </c>
      <c r="AF305" s="29"/>
    </row>
    <row r="306" spans="1:32" ht="16.5">
      <c r="A306" s="3" t="s">
        <v>64</v>
      </c>
      <c r="B306" s="4">
        <v>79</v>
      </c>
      <c r="C306" s="5">
        <v>83</v>
      </c>
      <c r="D306" s="4">
        <v>61</v>
      </c>
      <c r="E306" s="4">
        <v>58</v>
      </c>
      <c r="F306" s="4">
        <v>68</v>
      </c>
      <c r="G306" s="91"/>
      <c r="H306" s="91"/>
      <c r="I306" s="91" t="s">
        <v>442</v>
      </c>
      <c r="J306" s="91"/>
      <c r="K306" s="91" t="s">
        <v>442</v>
      </c>
      <c r="L306" s="91"/>
      <c r="M306" s="91"/>
      <c r="N306" s="91" t="s">
        <v>442</v>
      </c>
      <c r="O306" s="91"/>
      <c r="P306" s="91"/>
      <c r="Q306" s="91" t="s">
        <v>442</v>
      </c>
      <c r="R306" s="91" t="s">
        <v>442</v>
      </c>
      <c r="S306" s="91"/>
      <c r="T306" s="91" t="s">
        <v>442</v>
      </c>
      <c r="U306" s="91"/>
      <c r="V306" s="91" t="s">
        <v>442</v>
      </c>
      <c r="W306" s="91"/>
      <c r="X306" s="91"/>
      <c r="Y306" s="91"/>
      <c r="Z306" s="91"/>
      <c r="AA306" s="91"/>
      <c r="AB306" s="91"/>
      <c r="AC306" s="91" t="s">
        <v>442</v>
      </c>
      <c r="AD306" s="91"/>
      <c r="AE306" s="8">
        <f t="shared" si="4"/>
        <v>69.8</v>
      </c>
      <c r="AF306" s="29"/>
    </row>
    <row r="307" spans="1:32" ht="16.5">
      <c r="A307" s="3" t="s">
        <v>24</v>
      </c>
      <c r="B307" s="6">
        <v>99</v>
      </c>
      <c r="C307" s="5">
        <v>88</v>
      </c>
      <c r="D307" s="6">
        <v>92</v>
      </c>
      <c r="E307" s="6">
        <v>97</v>
      </c>
      <c r="F307" s="6">
        <v>98</v>
      </c>
      <c r="G307" s="91"/>
      <c r="H307" s="91" t="s">
        <v>442</v>
      </c>
      <c r="I307" s="91" t="s">
        <v>442</v>
      </c>
      <c r="J307" s="91" t="s">
        <v>442</v>
      </c>
      <c r="K307" s="91" t="s">
        <v>442</v>
      </c>
      <c r="L307" s="91" t="s">
        <v>442</v>
      </c>
      <c r="M307" s="91" t="s">
        <v>442</v>
      </c>
      <c r="N307" s="91" t="s">
        <v>442</v>
      </c>
      <c r="O307" s="91" t="s">
        <v>442</v>
      </c>
      <c r="P307" s="91" t="s">
        <v>442</v>
      </c>
      <c r="Q307" s="91"/>
      <c r="R307" s="91" t="s">
        <v>442</v>
      </c>
      <c r="S307" s="91"/>
      <c r="T307" s="91" t="s">
        <v>442</v>
      </c>
      <c r="U307" s="91"/>
      <c r="V307" s="91" t="s">
        <v>442</v>
      </c>
      <c r="W307" s="91"/>
      <c r="X307" s="91"/>
      <c r="Y307" s="91" t="s">
        <v>442</v>
      </c>
      <c r="Z307" s="91"/>
      <c r="AA307" s="91"/>
      <c r="AB307" s="91" t="s">
        <v>442</v>
      </c>
      <c r="AC307" s="91" t="s">
        <v>442</v>
      </c>
      <c r="AD307" s="91" t="s">
        <v>442</v>
      </c>
      <c r="AE307" s="8">
        <f t="shared" si="4"/>
        <v>94.8</v>
      </c>
      <c r="AF307" s="29"/>
    </row>
    <row r="308" spans="1:32" ht="16.5">
      <c r="A308" s="3" t="s">
        <v>287</v>
      </c>
      <c r="B308" s="4">
        <v>79</v>
      </c>
      <c r="C308" s="4">
        <v>71</v>
      </c>
      <c r="D308" s="4">
        <v>61</v>
      </c>
      <c r="E308" s="4">
        <v>50</v>
      </c>
      <c r="F308" s="4">
        <v>72</v>
      </c>
      <c r="G308" s="91"/>
      <c r="H308" s="91"/>
      <c r="I308" s="91"/>
      <c r="J308" s="91"/>
      <c r="K308" s="91"/>
      <c r="L308" s="91"/>
      <c r="M308" s="91"/>
      <c r="N308" s="91"/>
      <c r="O308" s="91"/>
      <c r="P308" s="91" t="s">
        <v>442</v>
      </c>
      <c r="Q308" s="91"/>
      <c r="R308" s="91"/>
      <c r="S308" s="91" t="s">
        <v>442</v>
      </c>
      <c r="T308" s="91"/>
      <c r="U308" s="91" t="s">
        <v>442</v>
      </c>
      <c r="V308" s="91"/>
      <c r="W308" s="91"/>
      <c r="X308" s="91"/>
      <c r="Y308" s="91" t="s">
        <v>442</v>
      </c>
      <c r="Z308" s="91"/>
      <c r="AA308" s="91"/>
      <c r="AB308" s="91" t="s">
        <v>442</v>
      </c>
      <c r="AC308" s="91"/>
      <c r="AD308" s="91" t="s">
        <v>442</v>
      </c>
      <c r="AE308" s="8">
        <f t="shared" si="4"/>
        <v>66.599999999999994</v>
      </c>
      <c r="AF308" s="29"/>
    </row>
    <row r="309" spans="1:32" ht="16.5">
      <c r="A309" s="3" t="s">
        <v>308</v>
      </c>
      <c r="B309" s="5">
        <v>81</v>
      </c>
      <c r="C309" s="6">
        <v>94</v>
      </c>
      <c r="D309" s="4">
        <v>41</v>
      </c>
      <c r="E309" s="4">
        <v>38</v>
      </c>
      <c r="F309" s="4">
        <v>70</v>
      </c>
      <c r="G309" s="91"/>
      <c r="H309" s="91"/>
      <c r="I309" s="91"/>
      <c r="J309" s="91"/>
      <c r="K309" s="91"/>
      <c r="L309" s="91"/>
      <c r="M309" s="91"/>
      <c r="N309" s="91"/>
      <c r="O309" s="91"/>
      <c r="P309" s="91" t="s">
        <v>442</v>
      </c>
      <c r="Q309" s="91" t="s">
        <v>442</v>
      </c>
      <c r="R309" s="91"/>
      <c r="S309" s="91"/>
      <c r="T309" s="91"/>
      <c r="U309" s="91"/>
      <c r="V309" s="91" t="s">
        <v>442</v>
      </c>
      <c r="W309" s="91"/>
      <c r="X309" s="91"/>
      <c r="Y309" s="91" t="s">
        <v>442</v>
      </c>
      <c r="Z309" s="91"/>
      <c r="AA309" s="91"/>
      <c r="AB309" s="91"/>
      <c r="AC309" s="91" t="s">
        <v>442</v>
      </c>
      <c r="AD309" s="91"/>
      <c r="AE309" s="8">
        <f t="shared" si="4"/>
        <v>64.8</v>
      </c>
      <c r="AF309" s="29"/>
    </row>
    <row r="310" spans="1:32" ht="16.5">
      <c r="A310" s="3" t="s">
        <v>397</v>
      </c>
      <c r="B310" s="4">
        <v>63</v>
      </c>
      <c r="C310" s="4">
        <v>70</v>
      </c>
      <c r="D310" s="4">
        <v>67</v>
      </c>
      <c r="E310" s="4">
        <v>52</v>
      </c>
      <c r="F310" s="4">
        <v>69</v>
      </c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 t="s">
        <v>442</v>
      </c>
      <c r="S310" s="91"/>
      <c r="T310" s="91" t="s">
        <v>442</v>
      </c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8">
        <f t="shared" si="4"/>
        <v>64.2</v>
      </c>
      <c r="AF310" s="29"/>
    </row>
    <row r="311" spans="1:32" ht="16.5">
      <c r="A311" s="3" t="s">
        <v>160</v>
      </c>
      <c r="B311" s="4">
        <v>17</v>
      </c>
      <c r="C311" s="4">
        <v>67</v>
      </c>
      <c r="D311" s="4">
        <v>15</v>
      </c>
      <c r="E311" s="4">
        <v>16</v>
      </c>
      <c r="F311" s="4">
        <v>13</v>
      </c>
      <c r="G311" s="91"/>
      <c r="H311" s="91"/>
      <c r="I311" s="91"/>
      <c r="J311" s="91"/>
      <c r="K311" s="91"/>
      <c r="L311" s="91"/>
      <c r="M311" s="91"/>
      <c r="N311" s="91"/>
      <c r="O311" s="91"/>
      <c r="P311" s="91" t="s">
        <v>442</v>
      </c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 t="s">
        <v>442</v>
      </c>
      <c r="AD311" s="91"/>
      <c r="AE311" s="8">
        <f t="shared" si="4"/>
        <v>25.6</v>
      </c>
      <c r="AF311" s="29"/>
    </row>
    <row r="312" spans="1:32" ht="16.5">
      <c r="A312" s="3" t="s">
        <v>97</v>
      </c>
      <c r="B312" s="4">
        <v>76</v>
      </c>
      <c r="C312" s="4">
        <v>75</v>
      </c>
      <c r="D312" s="4">
        <v>45</v>
      </c>
      <c r="E312" s="4">
        <v>42</v>
      </c>
      <c r="F312" s="4">
        <v>70</v>
      </c>
      <c r="G312" s="91"/>
      <c r="H312" s="91"/>
      <c r="I312" s="91"/>
      <c r="J312" s="91"/>
      <c r="K312" s="91"/>
      <c r="L312" s="91"/>
      <c r="M312" s="91"/>
      <c r="N312" s="91" t="s">
        <v>442</v>
      </c>
      <c r="O312" s="91"/>
      <c r="P312" s="91"/>
      <c r="Q312" s="91" t="s">
        <v>442</v>
      </c>
      <c r="R312" s="91" t="s">
        <v>442</v>
      </c>
      <c r="S312" s="91"/>
      <c r="T312" s="91" t="s">
        <v>442</v>
      </c>
      <c r="U312" s="91" t="s">
        <v>442</v>
      </c>
      <c r="V312" s="91"/>
      <c r="W312" s="91"/>
      <c r="X312" s="91"/>
      <c r="Y312" s="91"/>
      <c r="Z312" s="91"/>
      <c r="AA312" s="91"/>
      <c r="AB312" s="91"/>
      <c r="AC312" s="91" t="s">
        <v>442</v>
      </c>
      <c r="AD312" s="91"/>
      <c r="AE312" s="8">
        <f t="shared" si="4"/>
        <v>61.6</v>
      </c>
      <c r="AF312" s="29"/>
    </row>
    <row r="313" spans="1:32" ht="16.5">
      <c r="A313" s="3" t="s">
        <v>288</v>
      </c>
      <c r="B313" s="4">
        <v>74</v>
      </c>
      <c r="C313" s="4">
        <v>73</v>
      </c>
      <c r="D313" s="4">
        <v>65</v>
      </c>
      <c r="E313" s="4">
        <v>59</v>
      </c>
      <c r="F313" s="4">
        <v>74</v>
      </c>
      <c r="G313" s="91"/>
      <c r="H313" s="91"/>
      <c r="I313" s="91"/>
      <c r="J313" s="91"/>
      <c r="K313" s="91" t="s">
        <v>442</v>
      </c>
      <c r="L313" s="91"/>
      <c r="M313" s="91"/>
      <c r="N313" s="91" t="s">
        <v>442</v>
      </c>
      <c r="O313" s="91"/>
      <c r="P313" s="91"/>
      <c r="Q313" s="91" t="s">
        <v>442</v>
      </c>
      <c r="R313" s="91" t="s">
        <v>442</v>
      </c>
      <c r="S313" s="91"/>
      <c r="T313" s="91"/>
      <c r="U313" s="91"/>
      <c r="V313" s="91"/>
      <c r="W313" s="91"/>
      <c r="X313" s="91"/>
      <c r="Y313" s="91" t="s">
        <v>442</v>
      </c>
      <c r="Z313" s="91"/>
      <c r="AA313" s="91"/>
      <c r="AB313" s="91" t="s">
        <v>442</v>
      </c>
      <c r="AC313" s="91"/>
      <c r="AD313" s="91"/>
      <c r="AE313" s="8">
        <f t="shared" si="4"/>
        <v>69</v>
      </c>
      <c r="AF313" s="29"/>
    </row>
    <row r="314" spans="1:32" ht="16.5">
      <c r="A314" s="3" t="s">
        <v>399</v>
      </c>
      <c r="B314" s="4">
        <v>33</v>
      </c>
      <c r="C314" s="4">
        <v>36</v>
      </c>
      <c r="D314" s="4">
        <v>72</v>
      </c>
      <c r="E314" s="4">
        <v>40</v>
      </c>
      <c r="F314" s="4">
        <v>73</v>
      </c>
      <c r="G314" s="91" t="s">
        <v>442</v>
      </c>
      <c r="H314" s="91"/>
      <c r="I314" s="91"/>
      <c r="J314" s="91" t="s">
        <v>442</v>
      </c>
      <c r="K314" s="91"/>
      <c r="L314" s="91"/>
      <c r="M314" s="91" t="s">
        <v>442</v>
      </c>
      <c r="N314" s="91"/>
      <c r="O314" s="91" t="s">
        <v>442</v>
      </c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 t="s">
        <v>442</v>
      </c>
      <c r="AE314" s="8">
        <f t="shared" si="4"/>
        <v>50.8</v>
      </c>
      <c r="AF314" s="29"/>
    </row>
    <row r="315" spans="1:32" ht="16.5">
      <c r="A315" s="3" t="s">
        <v>110</v>
      </c>
      <c r="B315" s="4">
        <v>16</v>
      </c>
      <c r="C315" s="4">
        <v>15</v>
      </c>
      <c r="D315" s="4">
        <v>67</v>
      </c>
      <c r="E315" s="4">
        <v>79</v>
      </c>
      <c r="F315" s="4">
        <v>31</v>
      </c>
      <c r="G315" s="91"/>
      <c r="H315" s="91" t="s">
        <v>442</v>
      </c>
      <c r="I315" s="91"/>
      <c r="J315" s="91" t="s">
        <v>442</v>
      </c>
      <c r="K315" s="91" t="s">
        <v>442</v>
      </c>
      <c r="L315" s="91"/>
      <c r="M315" s="91" t="s">
        <v>442</v>
      </c>
      <c r="N315" s="91"/>
      <c r="O315" s="91"/>
      <c r="P315" s="91"/>
      <c r="Q315" s="91"/>
      <c r="R315" s="91"/>
      <c r="S315" s="91"/>
      <c r="T315" s="91"/>
      <c r="U315" s="91"/>
      <c r="V315" s="91" t="s">
        <v>442</v>
      </c>
      <c r="W315" s="91"/>
      <c r="X315" s="91"/>
      <c r="Y315" s="91"/>
      <c r="Z315" s="91"/>
      <c r="AA315" s="91"/>
      <c r="AB315" s="91" t="s">
        <v>442</v>
      </c>
      <c r="AC315" s="91"/>
      <c r="AD315" s="91" t="s">
        <v>442</v>
      </c>
      <c r="AE315" s="8">
        <f t="shared" si="4"/>
        <v>41.6</v>
      </c>
      <c r="AF315" s="29"/>
    </row>
    <row r="316" spans="1:32" ht="16.5">
      <c r="A316" s="3" t="s">
        <v>253</v>
      </c>
      <c r="B316" s="4">
        <v>67</v>
      </c>
      <c r="C316" s="4">
        <v>75</v>
      </c>
      <c r="D316" s="4">
        <v>35</v>
      </c>
      <c r="E316" s="4">
        <v>29</v>
      </c>
      <c r="F316" s="4">
        <v>40</v>
      </c>
      <c r="G316" s="91"/>
      <c r="H316" s="91"/>
      <c r="I316" s="91"/>
      <c r="J316" s="91"/>
      <c r="K316" s="91"/>
      <c r="L316" s="91"/>
      <c r="M316" s="91"/>
      <c r="N316" s="91" t="s">
        <v>442</v>
      </c>
      <c r="O316" s="91"/>
      <c r="P316" s="91"/>
      <c r="Q316" s="91"/>
      <c r="R316" s="91"/>
      <c r="S316" s="91"/>
      <c r="T316" s="91" t="s">
        <v>442</v>
      </c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8">
        <f t="shared" si="4"/>
        <v>49.2</v>
      </c>
      <c r="AF316" s="29"/>
    </row>
    <row r="317" spans="1:32" ht="16.5">
      <c r="A317" s="3" t="s">
        <v>318</v>
      </c>
      <c r="B317" s="4">
        <v>50</v>
      </c>
      <c r="C317" s="4">
        <v>58</v>
      </c>
      <c r="D317" s="4">
        <v>72</v>
      </c>
      <c r="E317" s="4">
        <v>79</v>
      </c>
      <c r="F317" s="4">
        <v>60</v>
      </c>
      <c r="G317" s="91" t="s">
        <v>442</v>
      </c>
      <c r="H317" s="91"/>
      <c r="I317" s="91" t="s">
        <v>442</v>
      </c>
      <c r="J317" s="91"/>
      <c r="K317" s="91" t="s">
        <v>442</v>
      </c>
      <c r="L317" s="91"/>
      <c r="M317" s="91" t="s">
        <v>442</v>
      </c>
      <c r="N317" s="91"/>
      <c r="O317" s="91"/>
      <c r="P317" s="91"/>
      <c r="Q317" s="91"/>
      <c r="R317" s="91"/>
      <c r="S317" s="91" t="s">
        <v>442</v>
      </c>
      <c r="T317" s="91"/>
      <c r="U317" s="91"/>
      <c r="V317" s="91" t="s">
        <v>442</v>
      </c>
      <c r="W317" s="91"/>
      <c r="X317" s="91"/>
      <c r="Y317" s="91" t="s">
        <v>442</v>
      </c>
      <c r="Z317" s="91"/>
      <c r="AA317" s="91"/>
      <c r="AB317" s="91"/>
      <c r="AC317" s="91"/>
      <c r="AD317" s="91" t="s">
        <v>442</v>
      </c>
      <c r="AE317" s="8">
        <f t="shared" si="4"/>
        <v>63.8</v>
      </c>
      <c r="AF317" s="29"/>
    </row>
    <row r="318" spans="1:32" ht="16.5">
      <c r="A318" s="3" t="s">
        <v>249</v>
      </c>
      <c r="B318" s="4">
        <v>67</v>
      </c>
      <c r="C318" s="4">
        <v>76</v>
      </c>
      <c r="D318" s="4">
        <v>38</v>
      </c>
      <c r="E318" s="4">
        <v>24</v>
      </c>
      <c r="F318" s="4">
        <v>56</v>
      </c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 t="s">
        <v>442</v>
      </c>
      <c r="T318" s="91" t="s">
        <v>442</v>
      </c>
      <c r="U318" s="91"/>
      <c r="V318" s="91"/>
      <c r="W318" s="91"/>
      <c r="X318" s="91"/>
      <c r="Y318" s="91"/>
      <c r="Z318" s="91" t="s">
        <v>442</v>
      </c>
      <c r="AA318" s="91"/>
      <c r="AB318" s="91"/>
      <c r="AC318" s="91"/>
      <c r="AD318" s="91"/>
      <c r="AE318" s="8">
        <f t="shared" si="4"/>
        <v>52.2</v>
      </c>
      <c r="AF318" s="29"/>
    </row>
    <row r="319" spans="1:32" ht="16.5">
      <c r="A319" s="3" t="s">
        <v>166</v>
      </c>
      <c r="B319" s="6">
        <v>97</v>
      </c>
      <c r="C319" s="4">
        <v>78</v>
      </c>
      <c r="D319" s="6">
        <v>98</v>
      </c>
      <c r="E319" s="5">
        <v>89</v>
      </c>
      <c r="F319" s="6">
        <v>97</v>
      </c>
      <c r="G319" s="91" t="s">
        <v>442</v>
      </c>
      <c r="H319" s="91" t="s">
        <v>442</v>
      </c>
      <c r="I319" s="91" t="s">
        <v>442</v>
      </c>
      <c r="J319" s="91" t="s">
        <v>442</v>
      </c>
      <c r="K319" s="91" t="s">
        <v>442</v>
      </c>
      <c r="L319" s="91" t="s">
        <v>442</v>
      </c>
      <c r="M319" s="91" t="s">
        <v>442</v>
      </c>
      <c r="N319" s="91" t="s">
        <v>442</v>
      </c>
      <c r="O319" s="91"/>
      <c r="P319" s="91" t="s">
        <v>442</v>
      </c>
      <c r="Q319" s="91"/>
      <c r="R319" s="91"/>
      <c r="S319" s="91" t="s">
        <v>442</v>
      </c>
      <c r="T319" s="91" t="s">
        <v>442</v>
      </c>
      <c r="U319" s="91" t="s">
        <v>442</v>
      </c>
      <c r="V319" s="91" t="s">
        <v>442</v>
      </c>
      <c r="W319" s="91"/>
      <c r="X319" s="91"/>
      <c r="Y319" s="91" t="s">
        <v>442</v>
      </c>
      <c r="Z319" s="91" t="s">
        <v>442</v>
      </c>
      <c r="AA319" s="91"/>
      <c r="AB319" s="91"/>
      <c r="AC319" s="91"/>
      <c r="AD319" s="91" t="s">
        <v>442</v>
      </c>
      <c r="AE319" s="8">
        <f t="shared" si="4"/>
        <v>91.8</v>
      </c>
      <c r="AF319" s="29"/>
    </row>
    <row r="320" spans="1:32" ht="16.5">
      <c r="A320" s="3" t="s">
        <v>411</v>
      </c>
      <c r="B320" s="4">
        <v>47</v>
      </c>
      <c r="C320" s="4">
        <v>50</v>
      </c>
      <c r="D320" s="4">
        <v>39</v>
      </c>
      <c r="E320" s="4">
        <v>44</v>
      </c>
      <c r="F320" s="4">
        <v>31</v>
      </c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 t="s">
        <v>442</v>
      </c>
      <c r="T320" s="91"/>
      <c r="U320" s="91"/>
      <c r="V320" s="91"/>
      <c r="W320" s="91"/>
      <c r="X320" s="91"/>
      <c r="Y320" s="91"/>
      <c r="Z320" s="91"/>
      <c r="AA320" s="91"/>
      <c r="AB320" s="91" t="s">
        <v>442</v>
      </c>
      <c r="AC320" s="91"/>
      <c r="AD320" s="91"/>
      <c r="AE320" s="8">
        <f t="shared" si="4"/>
        <v>42.2</v>
      </c>
      <c r="AF320" s="29"/>
    </row>
    <row r="321" spans="1:32" ht="16.5">
      <c r="A321" s="3" t="s">
        <v>61</v>
      </c>
      <c r="B321" s="4">
        <v>79</v>
      </c>
      <c r="C321" s="4">
        <v>76</v>
      </c>
      <c r="D321" s="4">
        <v>60</v>
      </c>
      <c r="E321" s="4">
        <v>74</v>
      </c>
      <c r="F321" s="5">
        <v>83</v>
      </c>
      <c r="G321" s="91"/>
      <c r="H321" s="91" t="s">
        <v>442</v>
      </c>
      <c r="I321" s="91" t="s">
        <v>442</v>
      </c>
      <c r="J321" s="91"/>
      <c r="K321" s="91"/>
      <c r="L321" s="91"/>
      <c r="M321" s="91"/>
      <c r="N321" s="91"/>
      <c r="O321" s="91"/>
      <c r="P321" s="91"/>
      <c r="Q321" s="91" t="s">
        <v>442</v>
      </c>
      <c r="R321" s="91" t="s">
        <v>442</v>
      </c>
      <c r="S321" s="91"/>
      <c r="T321" s="91" t="s">
        <v>442</v>
      </c>
      <c r="U321" s="91"/>
      <c r="V321" s="91"/>
      <c r="W321" s="91"/>
      <c r="X321" s="91"/>
      <c r="Y321" s="91"/>
      <c r="Z321" s="91"/>
      <c r="AA321" s="91"/>
      <c r="AB321" s="91" t="s">
        <v>442</v>
      </c>
      <c r="AC321" s="91"/>
      <c r="AD321" s="91" t="s">
        <v>442</v>
      </c>
      <c r="AE321" s="8">
        <f t="shared" si="4"/>
        <v>74.400000000000006</v>
      </c>
      <c r="AF321" s="29"/>
    </row>
    <row r="322" spans="1:32" ht="16.5">
      <c r="A322" s="3" t="s">
        <v>186</v>
      </c>
      <c r="B322" s="4">
        <v>63</v>
      </c>
      <c r="C322" s="5">
        <v>85</v>
      </c>
      <c r="D322" s="4">
        <v>29</v>
      </c>
      <c r="E322" s="4">
        <v>36</v>
      </c>
      <c r="F322" s="4">
        <v>59</v>
      </c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 t="s">
        <v>442</v>
      </c>
      <c r="T322" s="91"/>
      <c r="U322" s="91" t="s">
        <v>442</v>
      </c>
      <c r="V322" s="91"/>
      <c r="W322" s="91"/>
      <c r="X322" s="91"/>
      <c r="Y322" s="91"/>
      <c r="Z322" s="91"/>
      <c r="AA322" s="91"/>
      <c r="AB322" s="91"/>
      <c r="AC322" s="91" t="s">
        <v>442</v>
      </c>
      <c r="AD322" s="91"/>
      <c r="AE322" s="8">
        <f t="shared" si="4"/>
        <v>54.4</v>
      </c>
      <c r="AF322" s="29"/>
    </row>
    <row r="323" spans="1:32" ht="16.5">
      <c r="A323" s="3" t="s">
        <v>158</v>
      </c>
      <c r="B323" s="4">
        <v>42</v>
      </c>
      <c r="C323" s="4">
        <v>57</v>
      </c>
      <c r="D323" s="4">
        <v>47</v>
      </c>
      <c r="E323" s="4">
        <v>33</v>
      </c>
      <c r="F323" s="4">
        <v>48</v>
      </c>
      <c r="G323" s="91"/>
      <c r="H323" s="91"/>
      <c r="I323" s="91"/>
      <c r="J323" s="91"/>
      <c r="K323" s="91"/>
      <c r="L323" s="91"/>
      <c r="M323" s="91"/>
      <c r="N323" s="91"/>
      <c r="O323" s="91" t="s">
        <v>442</v>
      </c>
      <c r="P323" s="91" t="s">
        <v>442</v>
      </c>
      <c r="Q323" s="91"/>
      <c r="R323" s="91"/>
      <c r="S323" s="91" t="s">
        <v>442</v>
      </c>
      <c r="T323" s="91"/>
      <c r="U323" s="91"/>
      <c r="V323" s="91"/>
      <c r="W323" s="91"/>
      <c r="X323" s="91"/>
      <c r="Y323" s="91"/>
      <c r="Z323" s="91"/>
      <c r="AA323" s="91"/>
      <c r="AB323" s="91" t="s">
        <v>442</v>
      </c>
      <c r="AC323" s="91"/>
      <c r="AD323" s="91"/>
      <c r="AE323" s="8">
        <f t="shared" ref="AE323:AE388" si="5">SUM(B323:F323)/5</f>
        <v>45.4</v>
      </c>
      <c r="AF323" s="29"/>
    </row>
    <row r="324" spans="1:32" ht="16.5">
      <c r="A324" s="3" t="s">
        <v>56</v>
      </c>
      <c r="B324" s="4">
        <v>78</v>
      </c>
      <c r="C324" s="5">
        <v>84</v>
      </c>
      <c r="D324" s="4">
        <v>60</v>
      </c>
      <c r="E324" s="4">
        <v>54</v>
      </c>
      <c r="F324" s="4">
        <v>67</v>
      </c>
      <c r="G324" s="91"/>
      <c r="H324" s="91"/>
      <c r="I324" s="91"/>
      <c r="J324" s="91"/>
      <c r="K324" s="91"/>
      <c r="L324" s="91"/>
      <c r="M324" s="91"/>
      <c r="N324" s="91" t="s">
        <v>442</v>
      </c>
      <c r="O324" s="91"/>
      <c r="P324" s="91" t="s">
        <v>442</v>
      </c>
      <c r="Q324" s="91"/>
      <c r="R324" s="91" t="s">
        <v>442</v>
      </c>
      <c r="S324" s="91" t="s">
        <v>442</v>
      </c>
      <c r="T324" s="91"/>
      <c r="U324" s="91"/>
      <c r="V324" s="91" t="s">
        <v>442</v>
      </c>
      <c r="W324" s="91"/>
      <c r="X324" s="91"/>
      <c r="Y324" s="91" t="s">
        <v>442</v>
      </c>
      <c r="Z324" s="91" t="s">
        <v>442</v>
      </c>
      <c r="AA324" s="91"/>
      <c r="AB324" s="91" t="s">
        <v>442</v>
      </c>
      <c r="AC324" s="91" t="s">
        <v>442</v>
      </c>
      <c r="AD324" s="91" t="s">
        <v>442</v>
      </c>
      <c r="AE324" s="8">
        <f t="shared" si="5"/>
        <v>68.599999999999994</v>
      </c>
      <c r="AF324" s="29"/>
    </row>
    <row r="325" spans="1:32" ht="16.5">
      <c r="A325" s="3" t="s">
        <v>276</v>
      </c>
      <c r="B325" s="5">
        <v>81</v>
      </c>
      <c r="C325" s="5">
        <v>83</v>
      </c>
      <c r="D325" s="4">
        <v>77</v>
      </c>
      <c r="E325" s="4">
        <v>67</v>
      </c>
      <c r="F325" s="5">
        <v>81</v>
      </c>
      <c r="G325" s="91" t="s">
        <v>442</v>
      </c>
      <c r="H325" s="91"/>
      <c r="I325" s="91"/>
      <c r="J325" s="91"/>
      <c r="K325" s="91" t="s">
        <v>442</v>
      </c>
      <c r="L325" s="91" t="s">
        <v>442</v>
      </c>
      <c r="M325" s="91"/>
      <c r="N325" s="91"/>
      <c r="O325" s="91" t="s">
        <v>442</v>
      </c>
      <c r="P325" s="91"/>
      <c r="Q325" s="91" t="s">
        <v>442</v>
      </c>
      <c r="R325" s="91"/>
      <c r="S325" s="91" t="s">
        <v>442</v>
      </c>
      <c r="T325" s="91" t="s">
        <v>442</v>
      </c>
      <c r="U325" s="91"/>
      <c r="V325" s="91" t="s">
        <v>442</v>
      </c>
      <c r="W325" s="91"/>
      <c r="X325" s="91"/>
      <c r="Y325" s="91"/>
      <c r="Z325" s="91" t="s">
        <v>442</v>
      </c>
      <c r="AA325" s="91"/>
      <c r="AB325" s="91"/>
      <c r="AC325" s="91" t="s">
        <v>442</v>
      </c>
      <c r="AD325" s="91"/>
      <c r="AE325" s="8">
        <f t="shared" si="5"/>
        <v>77.8</v>
      </c>
      <c r="AF325" s="29"/>
    </row>
    <row r="326" spans="1:32" ht="16.5">
      <c r="A326" s="3" t="s">
        <v>133</v>
      </c>
      <c r="B326" s="4">
        <v>55</v>
      </c>
      <c r="C326" s="4">
        <v>73</v>
      </c>
      <c r="D326" s="4">
        <v>40</v>
      </c>
      <c r="E326" s="4">
        <v>29</v>
      </c>
      <c r="F326" s="4">
        <v>34</v>
      </c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 t="s">
        <v>442</v>
      </c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 t="s">
        <v>442</v>
      </c>
      <c r="AD326" s="91"/>
      <c r="AE326" s="8">
        <f t="shared" si="5"/>
        <v>46.2</v>
      </c>
      <c r="AF326" s="29"/>
    </row>
    <row r="327" spans="1:32" ht="16.5">
      <c r="A327" s="3" t="s">
        <v>193</v>
      </c>
      <c r="B327" s="4">
        <v>22</v>
      </c>
      <c r="C327" s="4">
        <v>16</v>
      </c>
      <c r="D327" s="4">
        <v>67</v>
      </c>
      <c r="E327" s="4">
        <v>79</v>
      </c>
      <c r="F327" s="4">
        <v>70</v>
      </c>
      <c r="G327" s="91"/>
      <c r="H327" s="91" t="s">
        <v>442</v>
      </c>
      <c r="I327" s="91" t="s">
        <v>442</v>
      </c>
      <c r="J327" s="91"/>
      <c r="K327" s="91"/>
      <c r="L327" s="91" t="s">
        <v>442</v>
      </c>
      <c r="M327" s="91"/>
      <c r="N327" s="91"/>
      <c r="O327" s="91" t="s">
        <v>442</v>
      </c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8">
        <f t="shared" si="5"/>
        <v>50.8</v>
      </c>
      <c r="AF327" s="29"/>
    </row>
    <row r="328" spans="1:32" ht="16.5">
      <c r="A328" s="3" t="s">
        <v>275</v>
      </c>
      <c r="B328" s="4">
        <v>71</v>
      </c>
      <c r="C328" s="4">
        <v>48</v>
      </c>
      <c r="D328" s="6">
        <v>91</v>
      </c>
      <c r="E328" s="6">
        <v>90</v>
      </c>
      <c r="F328" s="4">
        <v>74</v>
      </c>
      <c r="G328" s="91"/>
      <c r="H328" s="91" t="s">
        <v>442</v>
      </c>
      <c r="I328" s="91" t="s">
        <v>442</v>
      </c>
      <c r="J328" s="91" t="s">
        <v>442</v>
      </c>
      <c r="K328" s="91"/>
      <c r="L328" s="91"/>
      <c r="M328" s="91"/>
      <c r="N328" s="91" t="s">
        <v>442</v>
      </c>
      <c r="O328" s="91"/>
      <c r="P328" s="91"/>
      <c r="Q328" s="91"/>
      <c r="R328" s="91"/>
      <c r="S328" s="91"/>
      <c r="T328" s="91"/>
      <c r="U328" s="91" t="s">
        <v>442</v>
      </c>
      <c r="V328" s="91"/>
      <c r="W328" s="91"/>
      <c r="X328" s="91"/>
      <c r="Y328" s="91" t="s">
        <v>442</v>
      </c>
      <c r="Z328" s="91"/>
      <c r="AA328" s="91"/>
      <c r="AB328" s="91" t="s">
        <v>442</v>
      </c>
      <c r="AC328" s="91"/>
      <c r="AD328" s="91" t="s">
        <v>442</v>
      </c>
      <c r="AE328" s="8">
        <f t="shared" si="5"/>
        <v>74.8</v>
      </c>
      <c r="AF328" s="29"/>
    </row>
    <row r="329" spans="1:32" ht="16.5">
      <c r="A329" s="3" t="s">
        <v>48</v>
      </c>
      <c r="B329" s="5">
        <v>83</v>
      </c>
      <c r="C329" s="4">
        <v>59</v>
      </c>
      <c r="D329" s="5">
        <v>84</v>
      </c>
      <c r="E329" s="5">
        <v>85</v>
      </c>
      <c r="F329" s="4">
        <v>67</v>
      </c>
      <c r="G329" s="91" t="s">
        <v>442</v>
      </c>
      <c r="H329" s="91" t="s">
        <v>442</v>
      </c>
      <c r="I329" s="91" t="s">
        <v>442</v>
      </c>
      <c r="J329" s="91"/>
      <c r="K329" s="91" t="s">
        <v>442</v>
      </c>
      <c r="L329" s="91" t="s">
        <v>442</v>
      </c>
      <c r="M329" s="91"/>
      <c r="N329" s="91" t="s">
        <v>442</v>
      </c>
      <c r="O329" s="91"/>
      <c r="P329" s="91"/>
      <c r="Q329" s="91"/>
      <c r="R329" s="91"/>
      <c r="S329" s="91"/>
      <c r="T329" s="91" t="s">
        <v>442</v>
      </c>
      <c r="U329" s="91"/>
      <c r="V329" s="91"/>
      <c r="W329" s="91"/>
      <c r="X329" s="91"/>
      <c r="Y329" s="91" t="s">
        <v>442</v>
      </c>
      <c r="Z329" s="91"/>
      <c r="AA329" s="91"/>
      <c r="AB329" s="91" t="s">
        <v>442</v>
      </c>
      <c r="AC329" s="91" t="s">
        <v>442</v>
      </c>
      <c r="AD329" s="91" t="s">
        <v>442</v>
      </c>
      <c r="AE329" s="8">
        <f t="shared" si="5"/>
        <v>75.599999999999994</v>
      </c>
      <c r="AF329" s="29"/>
    </row>
    <row r="330" spans="1:32" ht="16.5">
      <c r="A330" s="3" t="s">
        <v>95</v>
      </c>
      <c r="B330" s="4">
        <v>28</v>
      </c>
      <c r="C330" s="4">
        <v>18</v>
      </c>
      <c r="D330" s="4">
        <v>69</v>
      </c>
      <c r="E330" s="4">
        <v>77</v>
      </c>
      <c r="F330" s="4">
        <v>79</v>
      </c>
      <c r="G330" s="91" t="s">
        <v>442</v>
      </c>
      <c r="H330" s="91"/>
      <c r="I330" s="91" t="s">
        <v>442</v>
      </c>
      <c r="J330" s="91"/>
      <c r="K330" s="91" t="s">
        <v>442</v>
      </c>
      <c r="L330" s="91" t="s">
        <v>442</v>
      </c>
      <c r="M330" s="91" t="s">
        <v>442</v>
      </c>
      <c r="N330" s="91"/>
      <c r="O330" s="91" t="s">
        <v>442</v>
      </c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 t="s">
        <v>442</v>
      </c>
      <c r="AE330" s="8">
        <f t="shared" si="5"/>
        <v>54.2</v>
      </c>
      <c r="AF330" s="29"/>
    </row>
    <row r="331" spans="1:32" ht="16.5">
      <c r="A331" s="3" t="s">
        <v>100</v>
      </c>
      <c r="B331" s="4">
        <v>40</v>
      </c>
      <c r="C331" s="4">
        <v>26</v>
      </c>
      <c r="D331" s="4">
        <v>70</v>
      </c>
      <c r="E331" s="4">
        <v>72</v>
      </c>
      <c r="F331" s="4">
        <v>75</v>
      </c>
      <c r="G331" s="91" t="s">
        <v>442</v>
      </c>
      <c r="H331" s="91" t="s">
        <v>442</v>
      </c>
      <c r="I331" s="91"/>
      <c r="J331" s="91"/>
      <c r="K331" s="91" t="s">
        <v>442</v>
      </c>
      <c r="L331" s="91" t="s">
        <v>442</v>
      </c>
      <c r="M331" s="91" t="s">
        <v>442</v>
      </c>
      <c r="N331" s="91"/>
      <c r="O331" s="91"/>
      <c r="P331" s="91"/>
      <c r="Q331" s="91"/>
      <c r="R331" s="91"/>
      <c r="S331" s="91"/>
      <c r="T331" s="91" t="s">
        <v>442</v>
      </c>
      <c r="U331" s="91" t="s">
        <v>442</v>
      </c>
      <c r="V331" s="91"/>
      <c r="W331" s="91"/>
      <c r="X331" s="91"/>
      <c r="Y331" s="91"/>
      <c r="Z331" s="91"/>
      <c r="AA331" s="91"/>
      <c r="AB331" s="91"/>
      <c r="AC331" s="91"/>
      <c r="AD331" s="91" t="s">
        <v>442</v>
      </c>
      <c r="AE331" s="8">
        <f t="shared" si="5"/>
        <v>56.6</v>
      </c>
      <c r="AF331" s="29"/>
    </row>
    <row r="332" spans="1:32" ht="16.5">
      <c r="A332" s="3" t="s">
        <v>98</v>
      </c>
      <c r="B332" s="4">
        <v>53</v>
      </c>
      <c r="C332" s="4">
        <v>21</v>
      </c>
      <c r="D332" s="5">
        <v>80</v>
      </c>
      <c r="E332" s="4">
        <v>67</v>
      </c>
      <c r="F332" s="4">
        <v>56</v>
      </c>
      <c r="G332" s="91"/>
      <c r="H332" s="91" t="s">
        <v>442</v>
      </c>
      <c r="I332" s="91" t="s">
        <v>442</v>
      </c>
      <c r="J332" s="91" t="s">
        <v>442</v>
      </c>
      <c r="K332" s="91"/>
      <c r="L332" s="91"/>
      <c r="M332" s="91" t="s">
        <v>442</v>
      </c>
      <c r="N332" s="91"/>
      <c r="O332" s="91" t="s">
        <v>442</v>
      </c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8">
        <f t="shared" si="5"/>
        <v>55.4</v>
      </c>
      <c r="AF332" s="29"/>
    </row>
    <row r="333" spans="1:32" ht="16.5">
      <c r="A333" s="3" t="s">
        <v>130</v>
      </c>
      <c r="B333" s="4">
        <v>56</v>
      </c>
      <c r="C333" s="4">
        <v>71</v>
      </c>
      <c r="D333" s="4">
        <v>56</v>
      </c>
      <c r="E333" s="4">
        <v>49</v>
      </c>
      <c r="F333" s="4">
        <v>39</v>
      </c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 t="s">
        <v>442</v>
      </c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8">
        <f t="shared" si="5"/>
        <v>54.2</v>
      </c>
      <c r="AF333" s="29"/>
    </row>
    <row r="334" spans="1:32" ht="16.5">
      <c r="A334" s="3" t="s">
        <v>252</v>
      </c>
      <c r="B334" s="4">
        <v>38</v>
      </c>
      <c r="C334" s="4">
        <v>31</v>
      </c>
      <c r="D334" s="4">
        <v>71</v>
      </c>
      <c r="E334" s="4">
        <v>65</v>
      </c>
      <c r="F334" s="4">
        <v>67</v>
      </c>
      <c r="G334" s="91" t="s">
        <v>442</v>
      </c>
      <c r="H334" s="91"/>
      <c r="I334" s="91"/>
      <c r="J334" s="91"/>
      <c r="K334" s="91" t="s">
        <v>442</v>
      </c>
      <c r="L334" s="91"/>
      <c r="M334" s="91" t="s">
        <v>442</v>
      </c>
      <c r="N334" s="91"/>
      <c r="O334" s="91" t="s">
        <v>442</v>
      </c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8">
        <f t="shared" si="5"/>
        <v>54.4</v>
      </c>
      <c r="AF334" s="29"/>
    </row>
    <row r="335" spans="1:32" ht="16.5">
      <c r="A335" s="3" t="s">
        <v>108</v>
      </c>
      <c r="B335" s="4">
        <v>34</v>
      </c>
      <c r="C335" s="4">
        <v>36</v>
      </c>
      <c r="D335" s="4">
        <v>66</v>
      </c>
      <c r="E335" s="4">
        <v>77</v>
      </c>
      <c r="F335" s="4">
        <v>43</v>
      </c>
      <c r="G335" s="91" t="s">
        <v>442</v>
      </c>
      <c r="H335" s="91" t="s">
        <v>442</v>
      </c>
      <c r="I335" s="91"/>
      <c r="J335" s="91"/>
      <c r="K335" s="91"/>
      <c r="L335" s="91"/>
      <c r="M335" s="91" t="s">
        <v>442</v>
      </c>
      <c r="N335" s="91"/>
      <c r="O335" s="91" t="s">
        <v>442</v>
      </c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 t="s">
        <v>442</v>
      </c>
      <c r="AA335" s="91"/>
      <c r="AB335" s="91"/>
      <c r="AC335" s="91"/>
      <c r="AD335" s="91"/>
      <c r="AE335" s="8">
        <f t="shared" si="5"/>
        <v>51.2</v>
      </c>
      <c r="AF335" s="29"/>
    </row>
    <row r="336" spans="1:32" ht="16.5">
      <c r="A336" s="3" t="s">
        <v>387</v>
      </c>
      <c r="B336" s="4">
        <v>67</v>
      </c>
      <c r="C336" s="5">
        <v>80</v>
      </c>
      <c r="D336" s="4">
        <v>78</v>
      </c>
      <c r="E336" s="4">
        <v>69</v>
      </c>
      <c r="F336" s="4">
        <v>69</v>
      </c>
      <c r="G336" s="91" t="s">
        <v>442</v>
      </c>
      <c r="H336" s="91"/>
      <c r="I336" s="91" t="s">
        <v>442</v>
      </c>
      <c r="J336" s="91" t="s">
        <v>442</v>
      </c>
      <c r="K336" s="91"/>
      <c r="L336" s="91"/>
      <c r="M336" s="91"/>
      <c r="N336" s="91"/>
      <c r="O336" s="91"/>
      <c r="P336" s="91"/>
      <c r="Q336" s="91" t="s">
        <v>442</v>
      </c>
      <c r="R336" s="91"/>
      <c r="S336" s="91"/>
      <c r="T336" s="91"/>
      <c r="U336" s="91" t="s">
        <v>442</v>
      </c>
      <c r="V336" s="91"/>
      <c r="W336" s="91"/>
      <c r="X336" s="91"/>
      <c r="Y336" s="91"/>
      <c r="Z336" s="91"/>
      <c r="AA336" s="91"/>
      <c r="AB336" s="91" t="s">
        <v>442</v>
      </c>
      <c r="AC336" s="91"/>
      <c r="AD336" s="91"/>
      <c r="AE336" s="8">
        <f t="shared" si="5"/>
        <v>72.599999999999994</v>
      </c>
      <c r="AF336" s="29"/>
    </row>
    <row r="337" spans="1:32" ht="16.5">
      <c r="A337" s="3" t="s">
        <v>150</v>
      </c>
      <c r="B337" s="4">
        <v>52</v>
      </c>
      <c r="C337" s="4">
        <v>62</v>
      </c>
      <c r="D337" s="4">
        <v>49</v>
      </c>
      <c r="E337" s="4">
        <v>38</v>
      </c>
      <c r="F337" s="4">
        <v>55</v>
      </c>
      <c r="G337" s="91"/>
      <c r="H337" s="91"/>
      <c r="I337" s="91"/>
      <c r="J337" s="91"/>
      <c r="K337" s="91"/>
      <c r="L337" s="91"/>
      <c r="M337" s="91"/>
      <c r="N337" s="91"/>
      <c r="O337" s="91" t="s">
        <v>442</v>
      </c>
      <c r="P337" s="91"/>
      <c r="Q337" s="91"/>
      <c r="R337" s="91"/>
      <c r="S337" s="91"/>
      <c r="T337" s="91" t="s">
        <v>442</v>
      </c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8">
        <f t="shared" si="5"/>
        <v>51.2</v>
      </c>
      <c r="AF337" s="29"/>
    </row>
    <row r="338" spans="1:32" ht="16.5">
      <c r="A338" s="3" t="s">
        <v>196</v>
      </c>
      <c r="B338" s="4">
        <v>64</v>
      </c>
      <c r="C338" s="4">
        <v>71</v>
      </c>
      <c r="D338" s="4">
        <v>64</v>
      </c>
      <c r="E338" s="4">
        <v>64</v>
      </c>
      <c r="F338" s="4">
        <v>60</v>
      </c>
      <c r="G338" s="91"/>
      <c r="H338" s="91"/>
      <c r="I338" s="91"/>
      <c r="J338" s="91"/>
      <c r="K338" s="91"/>
      <c r="L338" s="91"/>
      <c r="M338" s="91"/>
      <c r="N338" s="91"/>
      <c r="O338" s="91"/>
      <c r="P338" s="91" t="s">
        <v>442</v>
      </c>
      <c r="Q338" s="91"/>
      <c r="R338" s="91"/>
      <c r="S338" s="91"/>
      <c r="T338" s="91" t="s">
        <v>442</v>
      </c>
      <c r="U338" s="91"/>
      <c r="V338" s="91"/>
      <c r="W338" s="91"/>
      <c r="X338" s="91"/>
      <c r="Y338" s="91"/>
      <c r="Z338" s="91"/>
      <c r="AA338" s="91"/>
      <c r="AB338" s="91" t="s">
        <v>442</v>
      </c>
      <c r="AC338" s="91"/>
      <c r="AD338" s="91"/>
      <c r="AE338" s="8">
        <f t="shared" si="5"/>
        <v>64.599999999999994</v>
      </c>
      <c r="AF338" s="29"/>
    </row>
    <row r="339" spans="1:32" ht="16.5">
      <c r="A339" s="3" t="s">
        <v>60</v>
      </c>
      <c r="B339" s="5">
        <v>85</v>
      </c>
      <c r="C339" s="4">
        <v>72</v>
      </c>
      <c r="D339" s="4">
        <v>68</v>
      </c>
      <c r="E339" s="4">
        <v>74</v>
      </c>
      <c r="F339" s="4">
        <v>55</v>
      </c>
      <c r="G339" s="91"/>
      <c r="H339" s="91" t="s">
        <v>442</v>
      </c>
      <c r="I339" s="91"/>
      <c r="J339" s="91"/>
      <c r="K339" s="91" t="s">
        <v>442</v>
      </c>
      <c r="L339" s="91"/>
      <c r="M339" s="91"/>
      <c r="N339" s="91"/>
      <c r="O339" s="91"/>
      <c r="P339" s="91" t="s">
        <v>442</v>
      </c>
      <c r="Q339" s="91"/>
      <c r="R339" s="91"/>
      <c r="S339" s="91" t="s">
        <v>442</v>
      </c>
      <c r="T339" s="91" t="s">
        <v>442</v>
      </c>
      <c r="U339" s="91"/>
      <c r="V339" s="91"/>
      <c r="W339" s="91"/>
      <c r="X339" s="91"/>
      <c r="Y339" s="91"/>
      <c r="Z339" s="91"/>
      <c r="AA339" s="91"/>
      <c r="AB339" s="91"/>
      <c r="AC339" s="91" t="s">
        <v>442</v>
      </c>
      <c r="AD339" s="91" t="s">
        <v>442</v>
      </c>
      <c r="AE339" s="8">
        <f t="shared" si="5"/>
        <v>70.8</v>
      </c>
      <c r="AF339" s="29"/>
    </row>
    <row r="340" spans="1:32" ht="16.5">
      <c r="A340" s="3" t="s">
        <v>79</v>
      </c>
      <c r="B340" s="4">
        <v>39</v>
      </c>
      <c r="C340" s="4">
        <v>34</v>
      </c>
      <c r="D340" s="5">
        <v>84</v>
      </c>
      <c r="E340" s="4">
        <v>64</v>
      </c>
      <c r="F340" s="4">
        <v>70</v>
      </c>
      <c r="G340" s="91"/>
      <c r="H340" s="91" t="s">
        <v>442</v>
      </c>
      <c r="I340" s="91" t="s">
        <v>442</v>
      </c>
      <c r="J340" s="91" t="s">
        <v>442</v>
      </c>
      <c r="K340" s="91"/>
      <c r="L340" s="91"/>
      <c r="M340" s="91"/>
      <c r="N340" s="91"/>
      <c r="O340" s="91" t="s">
        <v>442</v>
      </c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 t="s">
        <v>442</v>
      </c>
      <c r="AA340" s="91"/>
      <c r="AB340" s="91"/>
      <c r="AC340" s="91"/>
      <c r="AD340" s="91"/>
      <c r="AE340" s="8">
        <f t="shared" si="5"/>
        <v>58.2</v>
      </c>
      <c r="AF340" s="29"/>
    </row>
    <row r="341" spans="1:32" ht="16.5">
      <c r="A341" s="3" t="s">
        <v>269</v>
      </c>
      <c r="B341" s="4">
        <v>30</v>
      </c>
      <c r="C341" s="4">
        <v>49</v>
      </c>
      <c r="D341" s="4">
        <v>38</v>
      </c>
      <c r="E341" s="4">
        <v>41</v>
      </c>
      <c r="F341" s="4">
        <v>35</v>
      </c>
      <c r="G341" s="91"/>
      <c r="H341" s="91"/>
      <c r="I341" s="91"/>
      <c r="J341" s="91"/>
      <c r="K341" s="91"/>
      <c r="L341" s="91"/>
      <c r="M341" s="91"/>
      <c r="N341" s="91"/>
      <c r="O341" s="91" t="s">
        <v>442</v>
      </c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8">
        <f t="shared" si="5"/>
        <v>38.6</v>
      </c>
      <c r="AF341" s="29"/>
    </row>
    <row r="342" spans="1:32" ht="16.5">
      <c r="A342" s="3" t="s">
        <v>267</v>
      </c>
      <c r="B342" s="4">
        <v>40</v>
      </c>
      <c r="C342" s="4">
        <v>51</v>
      </c>
      <c r="D342" s="4">
        <v>40</v>
      </c>
      <c r="E342" s="4">
        <v>36</v>
      </c>
      <c r="F342" s="4">
        <v>36</v>
      </c>
      <c r="G342" s="91"/>
      <c r="H342" s="91"/>
      <c r="I342" s="91"/>
      <c r="J342" s="91"/>
      <c r="K342" s="91"/>
      <c r="L342" s="91"/>
      <c r="M342" s="91"/>
      <c r="N342" s="91" t="s">
        <v>442</v>
      </c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 t="s">
        <v>442</v>
      </c>
      <c r="AC342" s="91"/>
      <c r="AD342" s="91"/>
      <c r="AE342" s="8">
        <f t="shared" si="5"/>
        <v>40.6</v>
      </c>
      <c r="AF342" s="29"/>
    </row>
    <row r="343" spans="1:32" ht="16.5">
      <c r="A343" s="3" t="s">
        <v>212</v>
      </c>
      <c r="B343" s="4">
        <v>46</v>
      </c>
      <c r="C343" s="4">
        <v>44</v>
      </c>
      <c r="D343" s="4">
        <v>60</v>
      </c>
      <c r="E343" s="4">
        <v>61</v>
      </c>
      <c r="F343" s="4">
        <v>39</v>
      </c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 t="s">
        <v>442</v>
      </c>
      <c r="W343" s="91"/>
      <c r="X343" s="91"/>
      <c r="Y343" s="91"/>
      <c r="Z343" s="91"/>
      <c r="AA343" s="91"/>
      <c r="AB343" s="91" t="s">
        <v>442</v>
      </c>
      <c r="AC343" s="91"/>
      <c r="AD343" s="91"/>
      <c r="AE343" s="8">
        <f t="shared" si="5"/>
        <v>50</v>
      </c>
      <c r="AF343" s="29"/>
    </row>
    <row r="344" spans="1:32" ht="16.5">
      <c r="A344" s="3" t="s">
        <v>365</v>
      </c>
      <c r="B344" s="4">
        <v>62</v>
      </c>
      <c r="C344" s="4">
        <v>78</v>
      </c>
      <c r="D344" s="4">
        <v>35</v>
      </c>
      <c r="E344" s="4">
        <v>29</v>
      </c>
      <c r="F344" s="4">
        <v>40</v>
      </c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 t="s">
        <v>442</v>
      </c>
      <c r="R344" s="91" t="s">
        <v>442</v>
      </c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 t="s">
        <v>442</v>
      </c>
      <c r="AD344" s="91"/>
      <c r="AE344" s="8">
        <f t="shared" si="5"/>
        <v>48.8</v>
      </c>
      <c r="AF344" s="29"/>
    </row>
    <row r="345" spans="1:32" ht="16.5">
      <c r="A345" s="3" t="s">
        <v>328</v>
      </c>
      <c r="B345" s="4">
        <v>23</v>
      </c>
      <c r="C345" s="4">
        <v>21</v>
      </c>
      <c r="D345" s="4">
        <v>76</v>
      </c>
      <c r="E345" s="4">
        <v>63</v>
      </c>
      <c r="F345" s="4">
        <v>64</v>
      </c>
      <c r="G345" s="91"/>
      <c r="H345" s="91" t="s">
        <v>442</v>
      </c>
      <c r="I345" s="91" t="s">
        <v>442</v>
      </c>
      <c r="J345" s="91" t="s">
        <v>442</v>
      </c>
      <c r="K345" s="91"/>
      <c r="L345" s="91"/>
      <c r="M345" s="91" t="s">
        <v>442</v>
      </c>
      <c r="N345" s="91"/>
      <c r="O345" s="91" t="s">
        <v>442</v>
      </c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 t="s">
        <v>442</v>
      </c>
      <c r="AC345" s="91"/>
      <c r="AD345" s="91"/>
      <c r="AE345" s="8">
        <f t="shared" si="5"/>
        <v>49.4</v>
      </c>
      <c r="AF345" s="29"/>
    </row>
    <row r="346" spans="1:32" ht="16.5">
      <c r="A346" s="3" t="s">
        <v>368</v>
      </c>
      <c r="B346" s="4">
        <v>63</v>
      </c>
      <c r="C346" s="4">
        <v>79</v>
      </c>
      <c r="D346" s="4">
        <v>16</v>
      </c>
      <c r="E346" s="4">
        <v>13</v>
      </c>
      <c r="F346" s="4">
        <v>36</v>
      </c>
      <c r="G346" s="91"/>
      <c r="H346" s="91"/>
      <c r="I346" s="91"/>
      <c r="J346" s="91"/>
      <c r="K346" s="91"/>
      <c r="L346" s="91"/>
      <c r="M346" s="91"/>
      <c r="N346" s="91"/>
      <c r="O346" s="91"/>
      <c r="P346" s="91" t="s">
        <v>442</v>
      </c>
      <c r="Q346" s="91" t="s">
        <v>442</v>
      </c>
      <c r="R346" s="91"/>
      <c r="S346" s="91"/>
      <c r="T346" s="91" t="s">
        <v>442</v>
      </c>
      <c r="U346" s="91"/>
      <c r="V346" s="91"/>
      <c r="W346" s="91"/>
      <c r="X346" s="91"/>
      <c r="Y346" s="91"/>
      <c r="Z346" s="91"/>
      <c r="AA346" s="91"/>
      <c r="AB346" s="91"/>
      <c r="AC346" s="91" t="s">
        <v>442</v>
      </c>
      <c r="AD346" s="91"/>
      <c r="AE346" s="8">
        <f t="shared" si="5"/>
        <v>41.4</v>
      </c>
      <c r="AF346" s="29"/>
    </row>
    <row r="347" spans="1:32" ht="16.5">
      <c r="A347" s="3" t="s">
        <v>354</v>
      </c>
      <c r="B347" s="4">
        <v>77</v>
      </c>
      <c r="C347" s="5">
        <v>85</v>
      </c>
      <c r="D347" s="4">
        <v>31</v>
      </c>
      <c r="E347" s="4">
        <v>35</v>
      </c>
      <c r="F347" s="4">
        <v>42</v>
      </c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 t="s">
        <v>442</v>
      </c>
      <c r="R347" s="91"/>
      <c r="S347" s="91"/>
      <c r="T347" s="91" t="s">
        <v>442</v>
      </c>
      <c r="U347" s="91"/>
      <c r="V347" s="91"/>
      <c r="W347" s="91"/>
      <c r="X347" s="91"/>
      <c r="Y347" s="91"/>
      <c r="Z347" s="91"/>
      <c r="AA347" s="91"/>
      <c r="AB347" s="91"/>
      <c r="AC347" s="91" t="s">
        <v>442</v>
      </c>
      <c r="AD347" s="91"/>
      <c r="AE347" s="8">
        <f t="shared" si="5"/>
        <v>54</v>
      </c>
      <c r="AF347" s="29"/>
    </row>
    <row r="348" spans="1:32" ht="16.5">
      <c r="A348" s="3" t="s">
        <v>338</v>
      </c>
      <c r="B348" s="4">
        <v>50</v>
      </c>
      <c r="C348" s="4">
        <v>64</v>
      </c>
      <c r="D348" s="4">
        <v>51</v>
      </c>
      <c r="E348" s="4">
        <v>38</v>
      </c>
      <c r="F348" s="4">
        <v>59</v>
      </c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 t="s">
        <v>442</v>
      </c>
      <c r="Z348" s="91" t="s">
        <v>442</v>
      </c>
      <c r="AA348" s="91"/>
      <c r="AB348" s="91"/>
      <c r="AC348" s="91"/>
      <c r="AD348" s="91"/>
      <c r="AE348" s="8">
        <f t="shared" si="5"/>
        <v>52.4</v>
      </c>
      <c r="AF348" s="29"/>
    </row>
    <row r="349" spans="1:32" ht="16.5">
      <c r="A349" s="3" t="s">
        <v>171</v>
      </c>
      <c r="B349" s="5">
        <v>82</v>
      </c>
      <c r="C349" s="6">
        <v>95</v>
      </c>
      <c r="D349" s="4">
        <v>65</v>
      </c>
      <c r="E349" s="4">
        <v>49</v>
      </c>
      <c r="F349" s="4">
        <v>70</v>
      </c>
      <c r="G349" s="91"/>
      <c r="H349" s="91" t="s">
        <v>442</v>
      </c>
      <c r="I349" s="91"/>
      <c r="J349" s="91"/>
      <c r="K349" s="91"/>
      <c r="L349" s="91"/>
      <c r="M349" s="91"/>
      <c r="N349" s="91" t="s">
        <v>442</v>
      </c>
      <c r="O349" s="91" t="s">
        <v>442</v>
      </c>
      <c r="P349" s="91"/>
      <c r="Q349" s="91" t="s">
        <v>442</v>
      </c>
      <c r="R349" s="91" t="s">
        <v>442</v>
      </c>
      <c r="S349" s="91" t="s">
        <v>442</v>
      </c>
      <c r="T349" s="91"/>
      <c r="U349" s="91" t="s">
        <v>442</v>
      </c>
      <c r="V349" s="91"/>
      <c r="W349" s="91"/>
      <c r="X349" s="91"/>
      <c r="Y349" s="91" t="s">
        <v>442</v>
      </c>
      <c r="Z349" s="91"/>
      <c r="AA349" s="91"/>
      <c r="AB349" s="91"/>
      <c r="AC349" s="91"/>
      <c r="AD349" s="91"/>
      <c r="AE349" s="8">
        <f t="shared" si="5"/>
        <v>72.2</v>
      </c>
      <c r="AF349" s="29"/>
    </row>
    <row r="350" spans="1:32" ht="16.5">
      <c r="A350" s="3" t="s">
        <v>378</v>
      </c>
      <c r="B350" s="4">
        <v>57</v>
      </c>
      <c r="C350" s="4">
        <v>72</v>
      </c>
      <c r="D350" s="4">
        <v>14</v>
      </c>
      <c r="E350" s="4">
        <v>19</v>
      </c>
      <c r="F350" s="4">
        <v>17</v>
      </c>
      <c r="G350" s="91"/>
      <c r="H350" s="91"/>
      <c r="I350" s="91"/>
      <c r="J350" s="91"/>
      <c r="K350" s="91"/>
      <c r="L350" s="91"/>
      <c r="M350" s="91"/>
      <c r="N350" s="91"/>
      <c r="O350" s="91"/>
      <c r="P350" s="91" t="s">
        <v>442</v>
      </c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8">
        <f t="shared" si="5"/>
        <v>35.799999999999997</v>
      </c>
      <c r="AF350" s="29"/>
    </row>
    <row r="351" spans="1:32" ht="16.5">
      <c r="A351" s="3" t="s">
        <v>257</v>
      </c>
      <c r="B351" s="4">
        <v>61</v>
      </c>
      <c r="C351" s="4">
        <v>70</v>
      </c>
      <c r="D351" s="4">
        <v>39</v>
      </c>
      <c r="E351" s="4">
        <v>27</v>
      </c>
      <c r="F351" s="4">
        <v>45</v>
      </c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 t="s">
        <v>442</v>
      </c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8">
        <f t="shared" si="5"/>
        <v>48.4</v>
      </c>
      <c r="AF351" s="29"/>
    </row>
    <row r="352" spans="1:32" ht="16.5">
      <c r="A352" s="3" t="s">
        <v>341</v>
      </c>
      <c r="B352" s="4">
        <v>61</v>
      </c>
      <c r="C352" s="4">
        <v>60</v>
      </c>
      <c r="D352" s="4">
        <v>40</v>
      </c>
      <c r="E352" s="4">
        <v>41</v>
      </c>
      <c r="F352" s="4">
        <v>51</v>
      </c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 t="s">
        <v>442</v>
      </c>
      <c r="Z352" s="91"/>
      <c r="AA352" s="91"/>
      <c r="AB352" s="91"/>
      <c r="AC352" s="91"/>
      <c r="AD352" s="91"/>
      <c r="AE352" s="8">
        <f t="shared" si="5"/>
        <v>50.6</v>
      </c>
      <c r="AF352" s="29"/>
    </row>
    <row r="353" spans="1:32" ht="16.5">
      <c r="A353" s="3" t="s">
        <v>297</v>
      </c>
      <c r="B353" s="4">
        <v>55</v>
      </c>
      <c r="C353" s="4">
        <v>64</v>
      </c>
      <c r="D353" s="4">
        <v>57</v>
      </c>
      <c r="E353" s="4">
        <v>52</v>
      </c>
      <c r="F353" s="4">
        <v>66</v>
      </c>
      <c r="G353" s="91"/>
      <c r="H353" s="91"/>
      <c r="I353" s="91"/>
      <c r="J353" s="91"/>
      <c r="K353" s="91"/>
      <c r="L353" s="91"/>
      <c r="M353" s="91"/>
      <c r="N353" s="91"/>
      <c r="O353" s="91" t="s">
        <v>442</v>
      </c>
      <c r="P353" s="91" t="s">
        <v>442</v>
      </c>
      <c r="Q353" s="91"/>
      <c r="R353" s="91"/>
      <c r="S353" s="91"/>
      <c r="T353" s="91" t="s">
        <v>442</v>
      </c>
      <c r="U353" s="91" t="s">
        <v>442</v>
      </c>
      <c r="V353" s="91"/>
      <c r="W353" s="91"/>
      <c r="X353" s="91"/>
      <c r="Y353" s="91"/>
      <c r="Z353" s="91"/>
      <c r="AA353" s="91"/>
      <c r="AB353" s="91" t="s">
        <v>442</v>
      </c>
      <c r="AC353" s="91"/>
      <c r="AD353" s="91"/>
      <c r="AE353" s="8">
        <f t="shared" si="5"/>
        <v>58.8</v>
      </c>
      <c r="AF353" s="29"/>
    </row>
    <row r="354" spans="1:32" ht="16.5">
      <c r="A354" s="3" t="s">
        <v>37</v>
      </c>
      <c r="B354" s="6">
        <v>94</v>
      </c>
      <c r="C354" s="6">
        <v>96</v>
      </c>
      <c r="D354" s="4">
        <v>62</v>
      </c>
      <c r="E354" s="4">
        <v>56</v>
      </c>
      <c r="F354" s="4">
        <v>78</v>
      </c>
      <c r="G354" s="91"/>
      <c r="H354" s="91"/>
      <c r="I354" s="91"/>
      <c r="J354" s="91"/>
      <c r="K354" s="91"/>
      <c r="L354" s="91"/>
      <c r="M354" s="91"/>
      <c r="N354" s="91" t="s">
        <v>442</v>
      </c>
      <c r="O354" s="91"/>
      <c r="P354" s="91" t="s">
        <v>442</v>
      </c>
      <c r="Q354" s="91" t="s">
        <v>442</v>
      </c>
      <c r="R354" s="91"/>
      <c r="S354" s="91"/>
      <c r="T354" s="91" t="s">
        <v>442</v>
      </c>
      <c r="U354" s="91"/>
      <c r="V354" s="91" t="s">
        <v>442</v>
      </c>
      <c r="W354" s="91"/>
      <c r="X354" s="91"/>
      <c r="Y354" s="91" t="s">
        <v>442</v>
      </c>
      <c r="Z354" s="91"/>
      <c r="AA354" s="91"/>
      <c r="AB354" s="91" t="s">
        <v>442</v>
      </c>
      <c r="AC354" s="91" t="s">
        <v>442</v>
      </c>
      <c r="AD354" s="91" t="s">
        <v>442</v>
      </c>
      <c r="AE354" s="8">
        <f t="shared" si="5"/>
        <v>77.2</v>
      </c>
      <c r="AF354" s="29"/>
    </row>
    <row r="355" spans="1:32" ht="16.5">
      <c r="A355" s="3" t="s">
        <v>301</v>
      </c>
      <c r="B355" s="4">
        <v>26</v>
      </c>
      <c r="C355" s="4">
        <v>47</v>
      </c>
      <c r="D355" s="4">
        <v>32</v>
      </c>
      <c r="E355" s="4">
        <v>40</v>
      </c>
      <c r="F355" s="4">
        <v>25</v>
      </c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8">
        <f t="shared" si="5"/>
        <v>34</v>
      </c>
      <c r="AF355" s="29"/>
    </row>
    <row r="356" spans="1:32" ht="16.5">
      <c r="A356" s="3" t="s">
        <v>291</v>
      </c>
      <c r="B356" s="4">
        <v>69</v>
      </c>
      <c r="C356" s="4">
        <v>65</v>
      </c>
      <c r="D356" s="4">
        <v>67</v>
      </c>
      <c r="E356" s="4">
        <v>54</v>
      </c>
      <c r="F356" s="4">
        <v>64</v>
      </c>
      <c r="G356" s="91"/>
      <c r="H356" s="91" t="s">
        <v>442</v>
      </c>
      <c r="I356" s="91"/>
      <c r="J356" s="91"/>
      <c r="K356" s="91" t="s">
        <v>442</v>
      </c>
      <c r="L356" s="91"/>
      <c r="M356" s="91"/>
      <c r="N356" s="91" t="s">
        <v>442</v>
      </c>
      <c r="O356" s="91"/>
      <c r="P356" s="91" t="s">
        <v>442</v>
      </c>
      <c r="Q356" s="91"/>
      <c r="R356" s="91"/>
      <c r="S356" s="91"/>
      <c r="T356" s="91"/>
      <c r="U356" s="91"/>
      <c r="V356" s="91"/>
      <c r="W356" s="91"/>
      <c r="X356" s="91"/>
      <c r="Y356" s="91" t="s">
        <v>442</v>
      </c>
      <c r="Z356" s="91"/>
      <c r="AA356" s="91"/>
      <c r="AB356" s="91" t="s">
        <v>442</v>
      </c>
      <c r="AC356" s="91"/>
      <c r="AD356" s="91" t="s">
        <v>442</v>
      </c>
      <c r="AE356" s="8">
        <f t="shared" si="5"/>
        <v>63.8</v>
      </c>
      <c r="AF356" s="29"/>
    </row>
    <row r="357" spans="1:32" ht="16.5">
      <c r="A357" s="3" t="s">
        <v>45</v>
      </c>
      <c r="B357" s="6">
        <v>90</v>
      </c>
      <c r="C357" s="6">
        <v>92</v>
      </c>
      <c r="D357" s="4">
        <v>57</v>
      </c>
      <c r="E357" s="4">
        <v>56</v>
      </c>
      <c r="F357" s="4">
        <v>78</v>
      </c>
      <c r="G357" s="91"/>
      <c r="H357" s="91"/>
      <c r="I357" s="91"/>
      <c r="J357" s="91"/>
      <c r="K357" s="91"/>
      <c r="L357" s="91"/>
      <c r="M357" s="91"/>
      <c r="N357" s="91"/>
      <c r="O357" s="91"/>
      <c r="P357" s="91" t="s">
        <v>442</v>
      </c>
      <c r="Q357" s="91" t="s">
        <v>442</v>
      </c>
      <c r="R357" s="91" t="s">
        <v>442</v>
      </c>
      <c r="S357" s="91"/>
      <c r="T357" s="91" t="s">
        <v>442</v>
      </c>
      <c r="U357" s="91" t="s">
        <v>442</v>
      </c>
      <c r="V357" s="91"/>
      <c r="W357" s="91"/>
      <c r="X357" s="91"/>
      <c r="Y357" s="91" t="s">
        <v>442</v>
      </c>
      <c r="Z357" s="91"/>
      <c r="AA357" s="91"/>
      <c r="AB357" s="91"/>
      <c r="AC357" s="91" t="s">
        <v>442</v>
      </c>
      <c r="AD357" s="91"/>
      <c r="AE357" s="8">
        <f t="shared" si="5"/>
        <v>74.599999999999994</v>
      </c>
      <c r="AF357" s="29"/>
    </row>
    <row r="358" spans="1:32" ht="16.5">
      <c r="A358" s="3" t="s">
        <v>314</v>
      </c>
      <c r="B358" s="4">
        <v>74</v>
      </c>
      <c r="C358" s="4">
        <v>79</v>
      </c>
      <c r="D358" s="4">
        <v>71</v>
      </c>
      <c r="E358" s="4">
        <v>64</v>
      </c>
      <c r="F358" s="4">
        <v>73</v>
      </c>
      <c r="G358" s="91"/>
      <c r="H358" s="91" t="s">
        <v>442</v>
      </c>
      <c r="I358" s="91"/>
      <c r="J358" s="91"/>
      <c r="K358" s="91" t="s">
        <v>442</v>
      </c>
      <c r="L358" s="91"/>
      <c r="M358" s="91" t="s">
        <v>442</v>
      </c>
      <c r="N358" s="91"/>
      <c r="O358" s="91"/>
      <c r="P358" s="91"/>
      <c r="Q358" s="91"/>
      <c r="R358" s="91" t="s">
        <v>442</v>
      </c>
      <c r="S358" s="91"/>
      <c r="T358" s="91"/>
      <c r="U358" s="91"/>
      <c r="V358" s="91"/>
      <c r="W358" s="91"/>
      <c r="X358" s="91"/>
      <c r="Y358" s="91"/>
      <c r="Z358" s="91"/>
      <c r="AA358" s="91"/>
      <c r="AB358" s="91" t="s">
        <v>442</v>
      </c>
      <c r="AC358" s="91"/>
      <c r="AD358" s="91" t="s">
        <v>442</v>
      </c>
      <c r="AE358" s="8">
        <f t="shared" si="5"/>
        <v>72.2</v>
      </c>
      <c r="AF358" s="29"/>
    </row>
    <row r="359" spans="1:32" ht="16.5">
      <c r="A359" s="3" t="s">
        <v>137</v>
      </c>
      <c r="B359" s="4">
        <v>52</v>
      </c>
      <c r="C359" s="4">
        <v>60</v>
      </c>
      <c r="D359" s="4">
        <v>60</v>
      </c>
      <c r="E359" s="4">
        <v>51</v>
      </c>
      <c r="F359" s="4">
        <v>65</v>
      </c>
      <c r="G359" s="91"/>
      <c r="H359" s="91"/>
      <c r="I359" s="91"/>
      <c r="J359" s="91"/>
      <c r="K359" s="91"/>
      <c r="L359" s="91"/>
      <c r="M359" s="91"/>
      <c r="N359" s="91" t="s">
        <v>442</v>
      </c>
      <c r="O359" s="91"/>
      <c r="P359" s="91"/>
      <c r="Q359" s="91"/>
      <c r="R359" s="91"/>
      <c r="S359" s="91"/>
      <c r="T359" s="91"/>
      <c r="U359" s="91"/>
      <c r="V359" s="91" t="s">
        <v>442</v>
      </c>
      <c r="W359" s="91"/>
      <c r="X359" s="91"/>
      <c r="Y359" s="91"/>
      <c r="Z359" s="91"/>
      <c r="AA359" s="91"/>
      <c r="AB359" s="91"/>
      <c r="AC359" s="91"/>
      <c r="AD359" s="91"/>
      <c r="AE359" s="8">
        <f t="shared" si="5"/>
        <v>57.6</v>
      </c>
      <c r="AF359" s="29"/>
    </row>
    <row r="360" spans="1:32" ht="16.5">
      <c r="A360" s="3" t="s">
        <v>306</v>
      </c>
      <c r="B360" s="5">
        <v>83</v>
      </c>
      <c r="C360" s="5">
        <v>89</v>
      </c>
      <c r="D360" s="4">
        <v>68</v>
      </c>
      <c r="E360" s="4">
        <v>72</v>
      </c>
      <c r="F360" s="4">
        <v>73</v>
      </c>
      <c r="G360" s="91"/>
      <c r="H360" s="91" t="s">
        <v>442</v>
      </c>
      <c r="I360" s="91" t="s">
        <v>442</v>
      </c>
      <c r="J360" s="91" t="s">
        <v>442</v>
      </c>
      <c r="K360" s="91"/>
      <c r="L360" s="91"/>
      <c r="M360" s="91"/>
      <c r="N360" s="91" t="s">
        <v>442</v>
      </c>
      <c r="O360" s="91"/>
      <c r="P360" s="91"/>
      <c r="Q360" s="91" t="s">
        <v>442</v>
      </c>
      <c r="R360" s="91" t="s">
        <v>442</v>
      </c>
      <c r="S360" s="91"/>
      <c r="T360" s="91" t="s">
        <v>442</v>
      </c>
      <c r="U360" s="91"/>
      <c r="V360" s="91" t="s">
        <v>442</v>
      </c>
      <c r="W360" s="91"/>
      <c r="X360" s="91"/>
      <c r="Y360" s="91"/>
      <c r="Z360" s="91"/>
      <c r="AA360" s="91"/>
      <c r="AB360" s="91"/>
      <c r="AC360" s="91"/>
      <c r="AD360" s="91"/>
      <c r="AE360" s="8">
        <f t="shared" si="5"/>
        <v>77</v>
      </c>
      <c r="AF360" s="29"/>
    </row>
    <row r="361" spans="1:32" ht="16.5">
      <c r="A361" s="3" t="s">
        <v>347</v>
      </c>
      <c r="B361" s="4">
        <v>31</v>
      </c>
      <c r="C361" s="4">
        <v>33</v>
      </c>
      <c r="D361" s="4">
        <v>75</v>
      </c>
      <c r="E361" s="6">
        <v>94</v>
      </c>
      <c r="F361" s="4">
        <v>76</v>
      </c>
      <c r="G361" s="91"/>
      <c r="H361" s="91" t="s">
        <v>442</v>
      </c>
      <c r="I361" s="91" t="s">
        <v>442</v>
      </c>
      <c r="J361" s="91" t="s">
        <v>442</v>
      </c>
      <c r="K361" s="91"/>
      <c r="L361" s="91"/>
      <c r="M361" s="91" t="s">
        <v>442</v>
      </c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 t="s">
        <v>442</v>
      </c>
      <c r="Z361" s="91" t="s">
        <v>442</v>
      </c>
      <c r="AA361" s="91"/>
      <c r="AB361" s="91"/>
      <c r="AC361" s="91"/>
      <c r="AD361" s="91" t="s">
        <v>442</v>
      </c>
      <c r="AE361" s="8">
        <f t="shared" si="5"/>
        <v>61.8</v>
      </c>
      <c r="AF361" s="29"/>
    </row>
    <row r="362" spans="1:32" ht="16.5">
      <c r="A362" s="3" t="s">
        <v>350</v>
      </c>
      <c r="B362" s="5">
        <v>80</v>
      </c>
      <c r="C362" s="4">
        <v>71</v>
      </c>
      <c r="D362" s="5">
        <v>80</v>
      </c>
      <c r="E362" s="4">
        <v>78</v>
      </c>
      <c r="F362" s="4">
        <v>73</v>
      </c>
      <c r="G362" s="91"/>
      <c r="H362" s="91" t="s">
        <v>442</v>
      </c>
      <c r="I362" s="91" t="s">
        <v>442</v>
      </c>
      <c r="J362" s="91"/>
      <c r="K362" s="91"/>
      <c r="L362" s="91" t="s">
        <v>442</v>
      </c>
      <c r="M362" s="91"/>
      <c r="N362" s="91"/>
      <c r="O362" s="91"/>
      <c r="P362" s="91"/>
      <c r="Q362" s="91"/>
      <c r="R362" s="91" t="s">
        <v>442</v>
      </c>
      <c r="S362" s="91"/>
      <c r="T362" s="91"/>
      <c r="U362" s="91"/>
      <c r="V362" s="91" t="s">
        <v>442</v>
      </c>
      <c r="W362" s="91"/>
      <c r="X362" s="91"/>
      <c r="Y362" s="91" t="s">
        <v>442</v>
      </c>
      <c r="Z362" s="91"/>
      <c r="AA362" s="91"/>
      <c r="AB362" s="91"/>
      <c r="AC362" s="91"/>
      <c r="AD362" s="91" t="s">
        <v>442</v>
      </c>
      <c r="AE362" s="8">
        <f t="shared" si="5"/>
        <v>76.400000000000006</v>
      </c>
      <c r="AF362" s="29"/>
    </row>
    <row r="363" spans="1:32" ht="16.5">
      <c r="A363" s="3" t="s">
        <v>348</v>
      </c>
      <c r="B363" s="5">
        <v>84</v>
      </c>
      <c r="C363" s="4">
        <v>67</v>
      </c>
      <c r="D363" s="5">
        <v>85</v>
      </c>
      <c r="E363" s="4">
        <v>74</v>
      </c>
      <c r="F363" s="4">
        <v>73</v>
      </c>
      <c r="G363" s="91" t="s">
        <v>442</v>
      </c>
      <c r="H363" s="91"/>
      <c r="I363" s="91"/>
      <c r="J363" s="91" t="s">
        <v>442</v>
      </c>
      <c r="K363" s="91" t="s">
        <v>442</v>
      </c>
      <c r="L363" s="91"/>
      <c r="M363" s="91"/>
      <c r="N363" s="91"/>
      <c r="O363" s="91"/>
      <c r="P363" s="91"/>
      <c r="Q363" s="91"/>
      <c r="R363" s="91" t="s">
        <v>442</v>
      </c>
      <c r="S363" s="91"/>
      <c r="T363" s="91"/>
      <c r="U363" s="91"/>
      <c r="V363" s="91" t="s">
        <v>442</v>
      </c>
      <c r="W363" s="91"/>
      <c r="X363" s="91"/>
      <c r="Y363" s="91" t="s">
        <v>442</v>
      </c>
      <c r="Z363" s="91"/>
      <c r="AA363" s="91"/>
      <c r="AB363" s="91"/>
      <c r="AC363" s="91"/>
      <c r="AD363" s="91" t="s">
        <v>442</v>
      </c>
      <c r="AE363" s="8">
        <f t="shared" si="5"/>
        <v>76.599999999999994</v>
      </c>
      <c r="AF363" s="29"/>
    </row>
    <row r="364" spans="1:32" ht="16.5">
      <c r="A364" s="3" t="s">
        <v>222</v>
      </c>
      <c r="B364" s="5">
        <v>87</v>
      </c>
      <c r="C364" s="5">
        <v>84</v>
      </c>
      <c r="D364" s="5">
        <v>83</v>
      </c>
      <c r="E364" s="5">
        <v>80</v>
      </c>
      <c r="F364" s="5">
        <v>84</v>
      </c>
      <c r="G364" s="91"/>
      <c r="H364" s="91" t="s">
        <v>442</v>
      </c>
      <c r="I364" s="91"/>
      <c r="J364" s="91" t="s">
        <v>442</v>
      </c>
      <c r="K364" s="91" t="s">
        <v>442</v>
      </c>
      <c r="L364" s="91"/>
      <c r="M364" s="91"/>
      <c r="N364" s="91" t="s">
        <v>442</v>
      </c>
      <c r="O364" s="91"/>
      <c r="P364" s="91" t="s">
        <v>442</v>
      </c>
      <c r="Q364" s="91"/>
      <c r="R364" s="91" t="s">
        <v>442</v>
      </c>
      <c r="S364" s="91"/>
      <c r="T364" s="91" t="s">
        <v>442</v>
      </c>
      <c r="U364" s="91" t="s">
        <v>442</v>
      </c>
      <c r="V364" s="91"/>
      <c r="W364" s="91"/>
      <c r="X364" s="91"/>
      <c r="Y364" s="91" t="s">
        <v>442</v>
      </c>
      <c r="Z364" s="91"/>
      <c r="AA364" s="91"/>
      <c r="AB364" s="91" t="s">
        <v>442</v>
      </c>
      <c r="AC364" s="91" t="s">
        <v>442</v>
      </c>
      <c r="AD364" s="91" t="s">
        <v>442</v>
      </c>
      <c r="AE364" s="8">
        <f t="shared" si="5"/>
        <v>83.6</v>
      </c>
      <c r="AF364" s="29"/>
    </row>
    <row r="365" spans="1:32" ht="16.5">
      <c r="A365" s="3" t="s">
        <v>106</v>
      </c>
      <c r="B365" s="4">
        <v>71</v>
      </c>
      <c r="C365" s="4">
        <v>69</v>
      </c>
      <c r="D365" s="4">
        <v>65</v>
      </c>
      <c r="E365" s="4">
        <v>48</v>
      </c>
      <c r="F365" s="4">
        <v>60</v>
      </c>
      <c r="G365" s="91"/>
      <c r="H365" s="91"/>
      <c r="I365" s="91"/>
      <c r="J365" s="91"/>
      <c r="K365" s="91"/>
      <c r="L365" s="91"/>
      <c r="M365" s="91"/>
      <c r="N365" s="91" t="s">
        <v>442</v>
      </c>
      <c r="O365" s="91"/>
      <c r="P365" s="91"/>
      <c r="Q365" s="91" t="s">
        <v>442</v>
      </c>
      <c r="R365" s="91" t="s">
        <v>442</v>
      </c>
      <c r="S365" s="91" t="s">
        <v>442</v>
      </c>
      <c r="T365" s="91"/>
      <c r="U365" s="91"/>
      <c r="V365" s="91" t="s">
        <v>442</v>
      </c>
      <c r="W365" s="91"/>
      <c r="X365" s="91"/>
      <c r="Y365" s="91"/>
      <c r="Z365" s="91"/>
      <c r="AA365" s="91"/>
      <c r="AB365" s="91" t="s">
        <v>442</v>
      </c>
      <c r="AC365" s="91"/>
      <c r="AD365" s="91"/>
      <c r="AE365" s="8">
        <f t="shared" si="5"/>
        <v>62.6</v>
      </c>
      <c r="AF365" s="29"/>
    </row>
    <row r="366" spans="1:32" ht="16.5">
      <c r="A366" s="3" t="s">
        <v>141</v>
      </c>
      <c r="B366" s="4">
        <v>58</v>
      </c>
      <c r="C366" s="4">
        <v>66</v>
      </c>
      <c r="D366" s="4">
        <v>54</v>
      </c>
      <c r="E366" s="4">
        <v>41</v>
      </c>
      <c r="F366" s="4">
        <v>33</v>
      </c>
      <c r="G366" s="91"/>
      <c r="H366" s="91"/>
      <c r="I366" s="91"/>
      <c r="J366" s="91"/>
      <c r="K366" s="91"/>
      <c r="L366" s="91"/>
      <c r="M366" s="91"/>
      <c r="N366" s="91"/>
      <c r="O366" s="91"/>
      <c r="P366" s="91" t="s">
        <v>442</v>
      </c>
      <c r="Q366" s="91"/>
      <c r="R366" s="91"/>
      <c r="S366" s="91"/>
      <c r="T366" s="91" t="s">
        <v>442</v>
      </c>
      <c r="U366" s="91"/>
      <c r="V366" s="91"/>
      <c r="W366" s="91"/>
      <c r="X366" s="91"/>
      <c r="Y366" s="91"/>
      <c r="Z366" s="91"/>
      <c r="AA366" s="91"/>
      <c r="AB366" s="91" t="s">
        <v>442</v>
      </c>
      <c r="AC366" s="91"/>
      <c r="AD366" s="91"/>
      <c r="AE366" s="8">
        <f t="shared" si="5"/>
        <v>50.4</v>
      </c>
      <c r="AF366" s="29"/>
    </row>
    <row r="367" spans="1:32" ht="16.5">
      <c r="A367" s="3" t="s">
        <v>219</v>
      </c>
      <c r="B367" s="4">
        <v>52</v>
      </c>
      <c r="C367" s="4">
        <v>56</v>
      </c>
      <c r="D367" s="4">
        <v>40</v>
      </c>
      <c r="E367" s="4">
        <v>29</v>
      </c>
      <c r="F367" s="4">
        <v>47</v>
      </c>
      <c r="G367" s="91"/>
      <c r="H367" s="91"/>
      <c r="I367" s="91"/>
      <c r="J367" s="91"/>
      <c r="K367" s="91"/>
      <c r="L367" s="91"/>
      <c r="M367" s="91"/>
      <c r="N367" s="91" t="s">
        <v>442</v>
      </c>
      <c r="O367" s="91"/>
      <c r="P367" s="91"/>
      <c r="Q367" s="91"/>
      <c r="R367" s="91"/>
      <c r="S367" s="91"/>
      <c r="T367" s="91" t="s">
        <v>442</v>
      </c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8">
        <f t="shared" si="5"/>
        <v>44.8</v>
      </c>
      <c r="AF367" s="29"/>
    </row>
    <row r="368" spans="1:32" ht="16.5">
      <c r="A368" s="3" t="s">
        <v>185</v>
      </c>
      <c r="B368" s="4">
        <v>71</v>
      </c>
      <c r="C368" s="4">
        <v>69</v>
      </c>
      <c r="D368" s="4">
        <v>63</v>
      </c>
      <c r="E368" s="4">
        <v>66</v>
      </c>
      <c r="F368" s="4">
        <v>75</v>
      </c>
      <c r="G368" s="91"/>
      <c r="H368" s="91"/>
      <c r="I368" s="91" t="s">
        <v>442</v>
      </c>
      <c r="J368" s="91"/>
      <c r="K368" s="91"/>
      <c r="L368" s="91"/>
      <c r="M368" s="91" t="s">
        <v>442</v>
      </c>
      <c r="N368" s="91"/>
      <c r="O368" s="91"/>
      <c r="P368" s="91"/>
      <c r="Q368" s="91" t="s">
        <v>442</v>
      </c>
      <c r="R368" s="91"/>
      <c r="S368" s="91"/>
      <c r="T368" s="91"/>
      <c r="U368" s="91" t="s">
        <v>442</v>
      </c>
      <c r="V368" s="91" t="s">
        <v>442</v>
      </c>
      <c r="W368" s="91"/>
      <c r="X368" s="91"/>
      <c r="Y368" s="91" t="s">
        <v>442</v>
      </c>
      <c r="Z368" s="91"/>
      <c r="AA368" s="91"/>
      <c r="AB368" s="91"/>
      <c r="AC368" s="91"/>
      <c r="AD368" s="91"/>
      <c r="AE368" s="8">
        <f t="shared" si="5"/>
        <v>68.8</v>
      </c>
      <c r="AF368" s="29"/>
    </row>
    <row r="369" spans="1:32" ht="16.5">
      <c r="A369" s="3" t="s">
        <v>78</v>
      </c>
      <c r="B369" s="4">
        <v>28</v>
      </c>
      <c r="C369" s="4">
        <v>37</v>
      </c>
      <c r="D369" s="4">
        <v>70</v>
      </c>
      <c r="E369" s="5">
        <v>86</v>
      </c>
      <c r="F369" s="4">
        <v>55</v>
      </c>
      <c r="G369" s="91" t="s">
        <v>442</v>
      </c>
      <c r="H369" s="91"/>
      <c r="I369" s="91"/>
      <c r="J369" s="91" t="s">
        <v>442</v>
      </c>
      <c r="K369" s="91"/>
      <c r="L369" s="91"/>
      <c r="M369" s="91" t="s">
        <v>442</v>
      </c>
      <c r="N369" s="91"/>
      <c r="O369" s="91" t="s">
        <v>442</v>
      </c>
      <c r="P369" s="91"/>
      <c r="Q369" s="91"/>
      <c r="R369" s="91"/>
      <c r="S369" s="91"/>
      <c r="T369" s="91"/>
      <c r="U369" s="91"/>
      <c r="V369" s="91" t="s">
        <v>442</v>
      </c>
      <c r="W369" s="91"/>
      <c r="X369" s="91"/>
      <c r="Y369" s="91" t="s">
        <v>442</v>
      </c>
      <c r="Z369" s="91"/>
      <c r="AA369" s="91"/>
      <c r="AB369" s="91"/>
      <c r="AC369" s="91"/>
      <c r="AD369" s="91"/>
      <c r="AE369" s="8">
        <f t="shared" si="5"/>
        <v>55.2</v>
      </c>
      <c r="AF369" s="29"/>
    </row>
    <row r="370" spans="1:32" ht="16.5">
      <c r="A370" s="3" t="s">
        <v>268</v>
      </c>
      <c r="B370" s="4">
        <v>34</v>
      </c>
      <c r="C370" s="4">
        <v>52</v>
      </c>
      <c r="D370" s="4">
        <v>34</v>
      </c>
      <c r="E370" s="4">
        <v>30</v>
      </c>
      <c r="F370" s="4">
        <v>19</v>
      </c>
      <c r="G370" s="91"/>
      <c r="H370" s="91"/>
      <c r="I370" s="91"/>
      <c r="J370" s="91"/>
      <c r="K370" s="91"/>
      <c r="L370" s="91"/>
      <c r="M370" s="91"/>
      <c r="N370" s="91"/>
      <c r="O370" s="91"/>
      <c r="P370" s="91" t="s">
        <v>442</v>
      </c>
      <c r="Q370" s="91"/>
      <c r="R370" s="91"/>
      <c r="S370" s="91"/>
      <c r="T370" s="91"/>
      <c r="U370" s="91"/>
      <c r="V370" s="91"/>
      <c r="W370" s="91"/>
      <c r="X370" s="91"/>
      <c r="Y370" s="91" t="s">
        <v>442</v>
      </c>
      <c r="Z370" s="91"/>
      <c r="AA370" s="91"/>
      <c r="AB370" s="91"/>
      <c r="AC370" s="91"/>
      <c r="AD370" s="91"/>
      <c r="AE370" s="8">
        <f t="shared" si="5"/>
        <v>33.799999999999997</v>
      </c>
      <c r="AF370" s="29"/>
    </row>
    <row r="371" spans="1:32" ht="16.5">
      <c r="A371" s="3" t="s">
        <v>373</v>
      </c>
      <c r="B371" s="4">
        <v>61</v>
      </c>
      <c r="C371" s="4">
        <v>79</v>
      </c>
      <c r="D371" s="4">
        <v>26</v>
      </c>
      <c r="E371" s="4">
        <v>10</v>
      </c>
      <c r="F371" s="4">
        <v>16</v>
      </c>
      <c r="G371" s="91"/>
      <c r="H371" s="91"/>
      <c r="I371" s="91"/>
      <c r="J371" s="91"/>
      <c r="K371" s="91"/>
      <c r="L371" s="91"/>
      <c r="M371" s="91"/>
      <c r="N371" s="91"/>
      <c r="O371" s="91"/>
      <c r="P371" s="91" t="s">
        <v>442</v>
      </c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 t="s">
        <v>442</v>
      </c>
      <c r="AD371" s="91"/>
      <c r="AE371" s="8">
        <f t="shared" si="5"/>
        <v>38.4</v>
      </c>
      <c r="AF371" s="29"/>
    </row>
    <row r="372" spans="1:32" ht="16.5">
      <c r="A372" s="3" t="s">
        <v>310</v>
      </c>
      <c r="B372" s="5">
        <v>82</v>
      </c>
      <c r="C372" s="4">
        <v>40</v>
      </c>
      <c r="D372" s="5">
        <v>84</v>
      </c>
      <c r="E372" s="4">
        <v>75</v>
      </c>
      <c r="F372" s="4">
        <v>79</v>
      </c>
      <c r="G372" s="91"/>
      <c r="H372" s="91" t="s">
        <v>442</v>
      </c>
      <c r="I372" s="91" t="s">
        <v>442</v>
      </c>
      <c r="J372" s="91"/>
      <c r="K372" s="91"/>
      <c r="L372" s="91"/>
      <c r="M372" s="91"/>
      <c r="N372" s="91"/>
      <c r="O372" s="91"/>
      <c r="P372" s="91" t="s">
        <v>442</v>
      </c>
      <c r="Q372" s="91"/>
      <c r="R372" s="91"/>
      <c r="S372" s="91"/>
      <c r="T372" s="91"/>
      <c r="U372" s="91"/>
      <c r="V372" s="91"/>
      <c r="W372" s="91"/>
      <c r="X372" s="91"/>
      <c r="Y372" s="91"/>
      <c r="Z372" s="91" t="s">
        <v>442</v>
      </c>
      <c r="AA372" s="91"/>
      <c r="AB372" s="91" t="s">
        <v>442</v>
      </c>
      <c r="AC372" s="91"/>
      <c r="AD372" s="91"/>
      <c r="AE372" s="8">
        <f t="shared" si="5"/>
        <v>72</v>
      </c>
      <c r="AF372" s="29"/>
    </row>
    <row r="373" spans="1:32" ht="16.5">
      <c r="A373" s="3" t="s">
        <v>191</v>
      </c>
      <c r="B373" s="4">
        <v>50</v>
      </c>
      <c r="C373" s="4">
        <v>46</v>
      </c>
      <c r="D373" s="4">
        <v>62</v>
      </c>
      <c r="E373" s="4">
        <v>77</v>
      </c>
      <c r="F373" s="4">
        <v>42</v>
      </c>
      <c r="G373" s="91"/>
      <c r="H373" s="91" t="s">
        <v>442</v>
      </c>
      <c r="I373" s="91"/>
      <c r="J373" s="91"/>
      <c r="K373" s="91" t="s">
        <v>442</v>
      </c>
      <c r="L373" s="91"/>
      <c r="M373" s="91" t="s">
        <v>442</v>
      </c>
      <c r="N373" s="91"/>
      <c r="O373" s="91"/>
      <c r="P373" s="91" t="s">
        <v>442</v>
      </c>
      <c r="Q373" s="91"/>
      <c r="R373" s="91"/>
      <c r="S373" s="91"/>
      <c r="T373" s="91"/>
      <c r="U373" s="91"/>
      <c r="V373" s="91"/>
      <c r="W373" s="91"/>
      <c r="X373" s="91"/>
      <c r="Y373" s="91" t="s">
        <v>442</v>
      </c>
      <c r="Z373" s="91"/>
      <c r="AA373" s="91"/>
      <c r="AB373" s="91"/>
      <c r="AC373" s="91"/>
      <c r="AD373" s="91"/>
      <c r="AE373" s="8">
        <f t="shared" si="5"/>
        <v>55.4</v>
      </c>
      <c r="AF373" s="29"/>
    </row>
    <row r="374" spans="1:32" ht="16.5">
      <c r="A374" s="3" t="s">
        <v>229</v>
      </c>
      <c r="B374" s="5">
        <v>83</v>
      </c>
      <c r="C374" s="6">
        <v>97</v>
      </c>
      <c r="D374" s="4">
        <v>26</v>
      </c>
      <c r="E374" s="4">
        <v>16</v>
      </c>
      <c r="F374" s="4">
        <v>68</v>
      </c>
      <c r="G374" s="91"/>
      <c r="H374" s="91"/>
      <c r="I374" s="91"/>
      <c r="J374" s="91"/>
      <c r="K374" s="91"/>
      <c r="L374" s="91"/>
      <c r="M374" s="91"/>
      <c r="N374" s="91" t="s">
        <v>442</v>
      </c>
      <c r="O374" s="91"/>
      <c r="P374" s="91" t="s">
        <v>442</v>
      </c>
      <c r="Q374" s="91"/>
      <c r="R374" s="91"/>
      <c r="S374" s="91"/>
      <c r="T374" s="91"/>
      <c r="U374" s="91" t="s">
        <v>442</v>
      </c>
      <c r="V374" s="91"/>
      <c r="W374" s="91"/>
      <c r="X374" s="91"/>
      <c r="Y374" s="91"/>
      <c r="Z374" s="91"/>
      <c r="AA374" s="91"/>
      <c r="AB374" s="91"/>
      <c r="AC374" s="91" t="s">
        <v>442</v>
      </c>
      <c r="AD374" s="91"/>
      <c r="AE374" s="8">
        <f t="shared" si="5"/>
        <v>58</v>
      </c>
      <c r="AF374" s="29"/>
    </row>
    <row r="375" spans="1:32" ht="16.5">
      <c r="A375" s="3" t="s">
        <v>103</v>
      </c>
      <c r="B375" s="4">
        <v>35</v>
      </c>
      <c r="C375" s="4">
        <v>21</v>
      </c>
      <c r="D375" s="4">
        <v>76</v>
      </c>
      <c r="E375" s="4">
        <v>77</v>
      </c>
      <c r="F375" s="4">
        <v>56</v>
      </c>
      <c r="G375" s="91"/>
      <c r="H375" s="91" t="s">
        <v>442</v>
      </c>
      <c r="I375" s="91" t="s">
        <v>442</v>
      </c>
      <c r="J375" s="91"/>
      <c r="K375" s="91"/>
      <c r="L375" s="91" t="s">
        <v>442</v>
      </c>
      <c r="M375" s="91"/>
      <c r="N375" s="91"/>
      <c r="O375" s="91" t="s">
        <v>442</v>
      </c>
      <c r="P375" s="91"/>
      <c r="Q375" s="91"/>
      <c r="R375" s="91"/>
      <c r="S375" s="91"/>
      <c r="T375" s="91"/>
      <c r="U375" s="91"/>
      <c r="V375" s="91"/>
      <c r="W375" s="91"/>
      <c r="X375" s="91"/>
      <c r="Y375" s="91" t="s">
        <v>442</v>
      </c>
      <c r="Z375" s="91"/>
      <c r="AA375" s="91"/>
      <c r="AB375" s="91"/>
      <c r="AC375" s="91"/>
      <c r="AD375" s="91" t="s">
        <v>442</v>
      </c>
      <c r="AE375" s="8">
        <f t="shared" si="5"/>
        <v>53</v>
      </c>
      <c r="AF375" s="29"/>
    </row>
    <row r="376" spans="1:32" ht="16.5">
      <c r="A376" s="3" t="s">
        <v>293</v>
      </c>
      <c r="B376" s="4">
        <v>56</v>
      </c>
      <c r="C376" s="4">
        <v>79</v>
      </c>
      <c r="D376" s="4">
        <v>30</v>
      </c>
      <c r="E376" s="4">
        <v>26</v>
      </c>
      <c r="F376" s="4">
        <v>53</v>
      </c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 t="s">
        <v>442</v>
      </c>
      <c r="AD376" s="91"/>
      <c r="AE376" s="8">
        <f t="shared" si="5"/>
        <v>48.8</v>
      </c>
      <c r="AF376" s="29"/>
    </row>
    <row r="377" spans="1:32" ht="16.5">
      <c r="A377" s="3" t="s">
        <v>256</v>
      </c>
      <c r="B377" s="4">
        <v>61</v>
      </c>
      <c r="C377" s="4">
        <v>65</v>
      </c>
      <c r="D377" s="4">
        <v>63</v>
      </c>
      <c r="E377" s="4">
        <v>50</v>
      </c>
      <c r="F377" s="4">
        <v>61</v>
      </c>
      <c r="G377" s="91"/>
      <c r="H377" s="91"/>
      <c r="I377" s="91" t="s">
        <v>442</v>
      </c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 t="s">
        <v>442</v>
      </c>
      <c r="AC377" s="91"/>
      <c r="AD377" s="91"/>
      <c r="AE377" s="8">
        <f t="shared" si="5"/>
        <v>60</v>
      </c>
      <c r="AF377" s="29"/>
    </row>
    <row r="378" spans="1:32" ht="16.5">
      <c r="A378" s="3" t="s">
        <v>409</v>
      </c>
      <c r="B378" s="4">
        <v>60</v>
      </c>
      <c r="C378" s="4">
        <v>64</v>
      </c>
      <c r="D378" s="4">
        <v>41</v>
      </c>
      <c r="E378" s="4">
        <v>24</v>
      </c>
      <c r="F378" s="4">
        <v>57</v>
      </c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 t="s">
        <v>442</v>
      </c>
      <c r="Z378" s="91"/>
      <c r="AA378" s="91"/>
      <c r="AB378" s="91"/>
      <c r="AC378" s="91"/>
      <c r="AD378" s="91"/>
      <c r="AE378" s="8">
        <f t="shared" si="5"/>
        <v>49.2</v>
      </c>
      <c r="AF378" s="29"/>
    </row>
    <row r="379" spans="1:32" ht="16.5">
      <c r="A379" s="3" t="s">
        <v>403</v>
      </c>
      <c r="B379" s="4">
        <v>67</v>
      </c>
      <c r="C379" s="4">
        <v>66</v>
      </c>
      <c r="D379" s="4">
        <v>49</v>
      </c>
      <c r="E379" s="4">
        <v>48</v>
      </c>
      <c r="F379" s="4">
        <v>62</v>
      </c>
      <c r="G379" s="91"/>
      <c r="H379" s="91"/>
      <c r="I379" s="91"/>
      <c r="J379" s="91"/>
      <c r="K379" s="91"/>
      <c r="L379" s="91"/>
      <c r="M379" s="91"/>
      <c r="N379" s="91"/>
      <c r="O379" s="91" t="s">
        <v>442</v>
      </c>
      <c r="P379" s="91"/>
      <c r="Q379" s="91"/>
      <c r="R379" s="91"/>
      <c r="S379" s="91" t="s">
        <v>442</v>
      </c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8">
        <f t="shared" si="5"/>
        <v>58.4</v>
      </c>
      <c r="AF379" s="29"/>
    </row>
    <row r="380" spans="1:32" ht="16.5">
      <c r="A380" s="3" t="s">
        <v>69</v>
      </c>
      <c r="B380" s="5">
        <v>86</v>
      </c>
      <c r="C380" s="5">
        <v>89</v>
      </c>
      <c r="D380" s="4">
        <v>27</v>
      </c>
      <c r="E380" s="4">
        <v>29</v>
      </c>
      <c r="F380" s="4">
        <v>44</v>
      </c>
      <c r="G380" s="91"/>
      <c r="H380" s="91"/>
      <c r="I380" s="91"/>
      <c r="J380" s="91"/>
      <c r="K380" s="91"/>
      <c r="L380" s="91"/>
      <c r="M380" s="91"/>
      <c r="N380" s="91" t="s">
        <v>442</v>
      </c>
      <c r="O380" s="91"/>
      <c r="P380" s="91" t="s">
        <v>442</v>
      </c>
      <c r="Q380" s="91"/>
      <c r="R380" s="91" t="s">
        <v>442</v>
      </c>
      <c r="S380" s="91"/>
      <c r="T380" s="91" t="s">
        <v>442</v>
      </c>
      <c r="U380" s="91" t="s">
        <v>442</v>
      </c>
      <c r="V380" s="91"/>
      <c r="W380" s="91"/>
      <c r="X380" s="91"/>
      <c r="Y380" s="91"/>
      <c r="Z380" s="91"/>
      <c r="AA380" s="91"/>
      <c r="AB380" s="91"/>
      <c r="AC380" s="91" t="s">
        <v>442</v>
      </c>
      <c r="AD380" s="91"/>
      <c r="AE380" s="8">
        <f t="shared" si="5"/>
        <v>55</v>
      </c>
      <c r="AF380" s="29"/>
    </row>
    <row r="381" spans="1:32" ht="16.5">
      <c r="A381" s="3" t="s">
        <v>123</v>
      </c>
      <c r="B381" s="4">
        <v>26</v>
      </c>
      <c r="C381" s="4">
        <v>45</v>
      </c>
      <c r="D381" s="4">
        <v>66</v>
      </c>
      <c r="E381" s="4">
        <v>75</v>
      </c>
      <c r="F381" s="4">
        <v>32</v>
      </c>
      <c r="G381" s="91" t="s">
        <v>442</v>
      </c>
      <c r="H381" s="91"/>
      <c r="I381" s="91"/>
      <c r="J381" s="91"/>
      <c r="K381" s="91" t="s">
        <v>442</v>
      </c>
      <c r="L381" s="91"/>
      <c r="M381" s="91"/>
      <c r="N381" s="91" t="s">
        <v>442</v>
      </c>
      <c r="O381" s="91" t="s">
        <v>442</v>
      </c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8">
        <f t="shared" si="5"/>
        <v>48.8</v>
      </c>
      <c r="AF381" s="29"/>
    </row>
    <row r="382" spans="1:32" ht="16.5">
      <c r="A382" s="3" t="s">
        <v>390</v>
      </c>
      <c r="B382" s="4">
        <v>39</v>
      </c>
      <c r="C382" s="4">
        <v>19</v>
      </c>
      <c r="D382" s="5">
        <v>81</v>
      </c>
      <c r="E382" s="4">
        <v>60</v>
      </c>
      <c r="F382" s="4">
        <v>66</v>
      </c>
      <c r="G382" s="91"/>
      <c r="H382" s="91" t="s">
        <v>442</v>
      </c>
      <c r="I382" s="91" t="s">
        <v>442</v>
      </c>
      <c r="J382" s="91"/>
      <c r="K382" s="91" t="s">
        <v>442</v>
      </c>
      <c r="L382" s="91" t="s">
        <v>442</v>
      </c>
      <c r="M382" s="91" t="s">
        <v>442</v>
      </c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 t="s">
        <v>442</v>
      </c>
      <c r="AA382" s="91"/>
      <c r="AB382" s="91"/>
      <c r="AC382" s="91"/>
      <c r="AD382" s="91" t="s">
        <v>442</v>
      </c>
      <c r="AE382" s="8">
        <f t="shared" si="5"/>
        <v>53</v>
      </c>
      <c r="AF382" s="29"/>
    </row>
    <row r="383" spans="1:32" ht="16.5">
      <c r="A383" s="3" t="s">
        <v>54</v>
      </c>
      <c r="B383" s="5">
        <v>83</v>
      </c>
      <c r="C383" s="5">
        <v>85</v>
      </c>
      <c r="D383" s="4">
        <v>68</v>
      </c>
      <c r="E383" s="4">
        <v>47</v>
      </c>
      <c r="F383" s="5">
        <v>82</v>
      </c>
      <c r="G383" s="91"/>
      <c r="H383" s="91"/>
      <c r="I383" s="91" t="s">
        <v>442</v>
      </c>
      <c r="J383" s="91"/>
      <c r="K383" s="91"/>
      <c r="L383" s="91"/>
      <c r="M383" s="91"/>
      <c r="N383" s="91" t="s">
        <v>442</v>
      </c>
      <c r="O383" s="91"/>
      <c r="P383" s="91" t="s">
        <v>442</v>
      </c>
      <c r="Q383" s="91"/>
      <c r="R383" s="91" t="s">
        <v>442</v>
      </c>
      <c r="S383" s="91" t="s">
        <v>442</v>
      </c>
      <c r="T383" s="91" t="s">
        <v>442</v>
      </c>
      <c r="U383" s="91"/>
      <c r="V383" s="91"/>
      <c r="W383" s="91"/>
      <c r="X383" s="91"/>
      <c r="Y383" s="91" t="s">
        <v>442</v>
      </c>
      <c r="Z383" s="91" t="s">
        <v>442</v>
      </c>
      <c r="AA383" s="91"/>
      <c r="AB383" s="91"/>
      <c r="AC383" s="91" t="s">
        <v>442</v>
      </c>
      <c r="AD383" s="91"/>
      <c r="AE383" s="8">
        <f t="shared" si="5"/>
        <v>73</v>
      </c>
      <c r="AF383" s="29"/>
    </row>
    <row r="384" spans="1:32" ht="16.5">
      <c r="A384" s="3" t="s">
        <v>177</v>
      </c>
      <c r="B384" s="4">
        <v>71</v>
      </c>
      <c r="C384" s="4">
        <v>45</v>
      </c>
      <c r="D384" s="5">
        <v>84</v>
      </c>
      <c r="E384" s="4">
        <v>71</v>
      </c>
      <c r="F384" s="4">
        <v>66</v>
      </c>
      <c r="G384" s="91" t="s">
        <v>442</v>
      </c>
      <c r="H384" s="91"/>
      <c r="I384" s="91"/>
      <c r="J384" s="91"/>
      <c r="K384" s="91"/>
      <c r="L384" s="91"/>
      <c r="M384" s="91"/>
      <c r="N384" s="91"/>
      <c r="O384" s="91" t="s">
        <v>442</v>
      </c>
      <c r="P384" s="91" t="s">
        <v>442</v>
      </c>
      <c r="Q384" s="91"/>
      <c r="R384" s="91"/>
      <c r="S384" s="91" t="s">
        <v>442</v>
      </c>
      <c r="T384" s="91"/>
      <c r="U384" s="91" t="s">
        <v>442</v>
      </c>
      <c r="V384" s="91" t="s">
        <v>442</v>
      </c>
      <c r="W384" s="91"/>
      <c r="X384" s="91"/>
      <c r="Y384" s="91" t="s">
        <v>442</v>
      </c>
      <c r="Z384" s="91"/>
      <c r="AA384" s="91"/>
      <c r="AB384" s="91" t="s">
        <v>442</v>
      </c>
      <c r="AC384" s="91"/>
      <c r="AD384" s="91"/>
      <c r="AE384" s="8">
        <f t="shared" si="5"/>
        <v>67.400000000000006</v>
      </c>
      <c r="AF384" s="29"/>
    </row>
    <row r="385" spans="1:32" ht="16.5">
      <c r="A385" s="3" t="s">
        <v>87</v>
      </c>
      <c r="B385" s="4">
        <v>69</v>
      </c>
      <c r="C385" s="4">
        <v>69</v>
      </c>
      <c r="D385" s="4">
        <v>64</v>
      </c>
      <c r="E385" s="4">
        <v>75</v>
      </c>
      <c r="F385" s="4">
        <v>76</v>
      </c>
      <c r="G385" s="91"/>
      <c r="H385" s="91" t="s">
        <v>442</v>
      </c>
      <c r="I385" s="91" t="s">
        <v>442</v>
      </c>
      <c r="J385" s="91"/>
      <c r="K385" s="91"/>
      <c r="L385" s="91"/>
      <c r="M385" s="91"/>
      <c r="N385" s="91"/>
      <c r="O385" s="91"/>
      <c r="P385" s="91"/>
      <c r="Q385" s="91" t="s">
        <v>442</v>
      </c>
      <c r="R385" s="91"/>
      <c r="S385" s="91"/>
      <c r="T385" s="91" t="s">
        <v>442</v>
      </c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8">
        <f t="shared" si="5"/>
        <v>70.599999999999994</v>
      </c>
      <c r="AF385" s="29"/>
    </row>
    <row r="386" spans="1:32" ht="16.5">
      <c r="A386" s="3" t="s">
        <v>138</v>
      </c>
      <c r="B386" s="4">
        <v>60</v>
      </c>
      <c r="C386" s="4">
        <v>68</v>
      </c>
      <c r="D386" s="4">
        <v>50</v>
      </c>
      <c r="E386" s="4">
        <v>27</v>
      </c>
      <c r="F386" s="4">
        <v>32</v>
      </c>
      <c r="G386" s="91"/>
      <c r="H386" s="91"/>
      <c r="I386" s="91"/>
      <c r="J386" s="91"/>
      <c r="K386" s="91" t="s">
        <v>442</v>
      </c>
      <c r="L386" s="91"/>
      <c r="M386" s="91"/>
      <c r="N386" s="91"/>
      <c r="O386" s="91"/>
      <c r="P386" s="91"/>
      <c r="Q386" s="91"/>
      <c r="R386" s="91" t="s">
        <v>442</v>
      </c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 t="s">
        <v>442</v>
      </c>
      <c r="AD386" s="91"/>
      <c r="AE386" s="8">
        <f t="shared" si="5"/>
        <v>47.4</v>
      </c>
      <c r="AF386" s="29"/>
    </row>
    <row r="387" spans="1:32" ht="16.5">
      <c r="A387" s="3" t="s">
        <v>274</v>
      </c>
      <c r="B387" s="6">
        <v>93</v>
      </c>
      <c r="C387" s="6">
        <v>97</v>
      </c>
      <c r="D387" s="4">
        <v>67</v>
      </c>
      <c r="E387" s="4">
        <v>65</v>
      </c>
      <c r="F387" s="5">
        <v>88</v>
      </c>
      <c r="G387" s="91"/>
      <c r="H387" s="91"/>
      <c r="I387" s="91"/>
      <c r="J387" s="91"/>
      <c r="K387" s="91"/>
      <c r="L387" s="91"/>
      <c r="M387" s="91"/>
      <c r="N387" s="91" t="s">
        <v>442</v>
      </c>
      <c r="O387" s="91"/>
      <c r="P387" s="91"/>
      <c r="Q387" s="91" t="s">
        <v>442</v>
      </c>
      <c r="R387" s="91" t="s">
        <v>442</v>
      </c>
      <c r="S387" s="91"/>
      <c r="T387" s="91"/>
      <c r="U387" s="91" t="s">
        <v>442</v>
      </c>
      <c r="V387" s="91" t="s">
        <v>442</v>
      </c>
      <c r="W387" s="91"/>
      <c r="X387" s="91"/>
      <c r="Y387" s="91" t="s">
        <v>442</v>
      </c>
      <c r="Z387" s="91"/>
      <c r="AA387" s="91"/>
      <c r="AB387" s="91" t="s">
        <v>442</v>
      </c>
      <c r="AC387" s="91" t="s">
        <v>442</v>
      </c>
      <c r="AD387" s="91"/>
      <c r="AE387" s="8">
        <f t="shared" si="5"/>
        <v>82</v>
      </c>
      <c r="AF387" s="29"/>
    </row>
    <row r="388" spans="1:32" ht="16.5">
      <c r="A388" s="3" t="s">
        <v>209</v>
      </c>
      <c r="B388" s="4">
        <v>65</v>
      </c>
      <c r="C388" s="4">
        <v>68</v>
      </c>
      <c r="D388" s="4">
        <v>41</v>
      </c>
      <c r="E388" s="4">
        <v>40</v>
      </c>
      <c r="F388" s="4">
        <v>42</v>
      </c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 t="s">
        <v>442</v>
      </c>
      <c r="R388" s="91"/>
      <c r="S388" s="91"/>
      <c r="T388" s="91"/>
      <c r="U388" s="91" t="s">
        <v>442</v>
      </c>
      <c r="V388" s="91"/>
      <c r="W388" s="91"/>
      <c r="X388" s="91"/>
      <c r="Y388" s="91"/>
      <c r="Z388" s="91"/>
      <c r="AA388" s="91"/>
      <c r="AB388" s="91"/>
      <c r="AC388" s="91" t="s">
        <v>442</v>
      </c>
      <c r="AD388" s="91"/>
      <c r="AE388" s="8">
        <f t="shared" si="5"/>
        <v>51.2</v>
      </c>
      <c r="AF388" s="29"/>
    </row>
  </sheetData>
  <autoFilter ref="A1:AF388" xr:uid="{D202BDC0-7EF0-45CA-A698-67A35DFD735E}">
    <sortState xmlns:xlrd2="http://schemas.microsoft.com/office/spreadsheetml/2017/richdata2" ref="A2:AF388">
      <sortCondition ref="A1:A388"/>
    </sortState>
  </autoFilter>
  <phoneticPr fontId="1" type="noConversion"/>
  <conditionalFormatting sqref="B2:F388">
    <cfRule type="cellIs" dxfId="20" priority="4" stopIfTrue="1" operator="greaterThanOrEqual">
      <formula>70</formula>
    </cfRule>
  </conditionalFormatting>
  <conditionalFormatting sqref="B5:F388">
    <cfRule type="cellIs" dxfId="19" priority="5" stopIfTrue="1" operator="greaterThanOrEqual">
      <formula>90</formula>
    </cfRule>
    <cfRule type="cellIs" dxfId="18" priority="6" stopIfTrue="1" operator="greaterThanOrEqual">
      <formula>80</formula>
    </cfRule>
  </conditionalFormatting>
  <conditionalFormatting sqref="AE2:AE388">
    <cfRule type="cellIs" dxfId="17" priority="7" stopIfTrue="1" operator="greaterThanOrEqual">
      <formula>70</formula>
    </cfRule>
  </conditionalFormatting>
  <conditionalFormatting sqref="AE2:AE1048576">
    <cfRule type="cellIs" dxfId="16" priority="2" stopIfTrue="1" operator="greaterThanOrEqual">
      <formula>90</formula>
    </cfRule>
    <cfRule type="cellIs" dxfId="15" priority="3" stopIfTrue="1" operator="greaterThanOrEqual">
      <formula>80</formula>
    </cfRule>
  </conditionalFormatting>
  <conditionalFormatting sqref="G2:AD388">
    <cfRule type="cellIs" dxfId="14" priority="1" operator="equal">
      <formula>"○"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E6DB-3700-4C3E-9904-1F9AFFE4B240}">
  <dimension ref="A1:AH118"/>
  <sheetViews>
    <sheetView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RowHeight="16.5"/>
  <cols>
    <col min="1" max="1" width="5.77734375" style="19" customWidth="1"/>
    <col min="2" max="2" width="8.21875" style="21" bestFit="1" customWidth="1"/>
    <col min="3" max="3" width="12.88671875" bestFit="1" customWidth="1"/>
    <col min="4" max="8" width="6.77734375" customWidth="1"/>
    <col min="9" max="32" width="5.77734375" customWidth="1"/>
    <col min="33" max="33" width="6.77734375" customWidth="1"/>
    <col min="34" max="34" width="53.109375" style="26" customWidth="1"/>
  </cols>
  <sheetData>
    <row r="1" spans="1:34">
      <c r="A1" s="20" t="s">
        <v>466</v>
      </c>
      <c r="B1" s="16" t="s">
        <v>552</v>
      </c>
      <c r="C1" s="2" t="s">
        <v>25</v>
      </c>
      <c r="D1" s="27" t="s">
        <v>26</v>
      </c>
      <c r="E1" s="27" t="s">
        <v>27</v>
      </c>
      <c r="F1" s="27" t="s">
        <v>29</v>
      </c>
      <c r="G1" s="27" t="s">
        <v>28</v>
      </c>
      <c r="H1" s="27" t="s">
        <v>30</v>
      </c>
      <c r="I1" s="14" t="s">
        <v>0</v>
      </c>
      <c r="J1" s="14" t="s">
        <v>1</v>
      </c>
      <c r="K1" s="14" t="s">
        <v>2</v>
      </c>
      <c r="L1" s="14" t="s">
        <v>3</v>
      </c>
      <c r="M1" s="14" t="s">
        <v>4</v>
      </c>
      <c r="N1" s="14" t="s">
        <v>5</v>
      </c>
      <c r="O1" s="14" t="s">
        <v>6</v>
      </c>
      <c r="P1" s="14" t="s">
        <v>7</v>
      </c>
      <c r="Q1" s="14" t="s">
        <v>8</v>
      </c>
      <c r="R1" s="14" t="s">
        <v>9</v>
      </c>
      <c r="S1" s="14" t="s">
        <v>10</v>
      </c>
      <c r="T1" s="14" t="s">
        <v>11</v>
      </c>
      <c r="U1" s="14" t="s">
        <v>12</v>
      </c>
      <c r="V1" s="14" t="s">
        <v>13</v>
      </c>
      <c r="W1" s="14" t="s">
        <v>14</v>
      </c>
      <c r="X1" s="14" t="s">
        <v>15</v>
      </c>
      <c r="Y1" s="14" t="s">
        <v>16</v>
      </c>
      <c r="Z1" s="14" t="s">
        <v>17</v>
      </c>
      <c r="AA1" s="14" t="s">
        <v>18</v>
      </c>
      <c r="AB1" s="14" t="s">
        <v>19</v>
      </c>
      <c r="AC1" s="14" t="s">
        <v>20</v>
      </c>
      <c r="AD1" s="14" t="s">
        <v>21</v>
      </c>
      <c r="AE1" s="14" t="s">
        <v>22</v>
      </c>
      <c r="AF1" s="14" t="s">
        <v>23</v>
      </c>
      <c r="AG1" s="15" t="s">
        <v>31</v>
      </c>
      <c r="AH1" s="28" t="s">
        <v>625</v>
      </c>
    </row>
    <row r="2" spans="1:34">
      <c r="A2" s="18">
        <v>1</v>
      </c>
      <c r="B2" s="3" t="s">
        <v>544</v>
      </c>
      <c r="C2" s="3" t="s">
        <v>421</v>
      </c>
      <c r="D2" s="4">
        <v>99</v>
      </c>
      <c r="E2" s="4">
        <v>43</v>
      </c>
      <c r="F2" s="4">
        <v>100</v>
      </c>
      <c r="G2" s="4">
        <v>94</v>
      </c>
      <c r="H2" s="4">
        <v>70</v>
      </c>
      <c r="I2" s="92" t="s">
        <v>442</v>
      </c>
      <c r="J2" s="92" t="s">
        <v>442</v>
      </c>
      <c r="K2" s="92" t="s">
        <v>442</v>
      </c>
      <c r="L2" s="92" t="s">
        <v>442</v>
      </c>
      <c r="M2" s="92" t="s">
        <v>442</v>
      </c>
      <c r="N2" s="92" t="s">
        <v>442</v>
      </c>
      <c r="O2" s="92" t="s">
        <v>442</v>
      </c>
      <c r="P2" s="92" t="s">
        <v>442</v>
      </c>
      <c r="Q2" s="92" t="s">
        <v>442</v>
      </c>
      <c r="R2" s="92" t="s">
        <v>442</v>
      </c>
      <c r="S2" s="92"/>
      <c r="T2" s="92"/>
      <c r="U2" s="92"/>
      <c r="V2" s="92" t="s">
        <v>442</v>
      </c>
      <c r="W2" s="92" t="s">
        <v>442</v>
      </c>
      <c r="X2" s="92" t="s">
        <v>442</v>
      </c>
      <c r="Y2" s="92"/>
      <c r="Z2" s="92"/>
      <c r="AA2" s="92" t="s">
        <v>442</v>
      </c>
      <c r="AB2" s="92"/>
      <c r="AC2" s="92"/>
      <c r="AD2" s="92" t="s">
        <v>442</v>
      </c>
      <c r="AE2" s="92" t="s">
        <v>442</v>
      </c>
      <c r="AF2" s="92" t="s">
        <v>442</v>
      </c>
      <c r="AG2" s="17">
        <f t="shared" ref="AG2:AG33" si="0">SUM(D2:H2)/5</f>
        <v>81.2</v>
      </c>
      <c r="AH2" s="24" t="s">
        <v>684</v>
      </c>
    </row>
    <row r="3" spans="1:34">
      <c r="A3" s="18">
        <v>2</v>
      </c>
      <c r="B3" s="3" t="s">
        <v>568</v>
      </c>
      <c r="C3" s="3" t="s">
        <v>413</v>
      </c>
      <c r="D3" s="4">
        <v>95</v>
      </c>
      <c r="E3" s="4">
        <v>87</v>
      </c>
      <c r="F3" s="4">
        <v>89</v>
      </c>
      <c r="G3" s="4">
        <v>84</v>
      </c>
      <c r="H3" s="4">
        <v>93</v>
      </c>
      <c r="I3" s="92" t="s">
        <v>442</v>
      </c>
      <c r="J3" s="92" t="s">
        <v>442</v>
      </c>
      <c r="K3" s="92" t="s">
        <v>442</v>
      </c>
      <c r="L3" s="92" t="s">
        <v>442</v>
      </c>
      <c r="M3" s="92"/>
      <c r="N3" s="92"/>
      <c r="O3" s="92" t="s">
        <v>442</v>
      </c>
      <c r="P3" s="92" t="s">
        <v>442</v>
      </c>
      <c r="Q3" s="92" t="s">
        <v>442</v>
      </c>
      <c r="R3" s="92" t="s">
        <v>442</v>
      </c>
      <c r="S3" s="92" t="s">
        <v>442</v>
      </c>
      <c r="T3" s="92" t="s">
        <v>442</v>
      </c>
      <c r="U3" s="92"/>
      <c r="V3" s="92" t="s">
        <v>442</v>
      </c>
      <c r="W3" s="92" t="s">
        <v>442</v>
      </c>
      <c r="X3" s="92" t="s">
        <v>442</v>
      </c>
      <c r="Y3" s="92"/>
      <c r="Z3" s="92"/>
      <c r="AA3" s="92" t="s">
        <v>442</v>
      </c>
      <c r="AB3" s="92" t="s">
        <v>442</v>
      </c>
      <c r="AC3" s="92"/>
      <c r="AD3" s="92" t="s">
        <v>442</v>
      </c>
      <c r="AE3" s="92" t="s">
        <v>442</v>
      </c>
      <c r="AF3" s="92" t="s">
        <v>442</v>
      </c>
      <c r="AG3" s="17">
        <f t="shared" si="0"/>
        <v>89.6</v>
      </c>
      <c r="AH3" s="24"/>
    </row>
    <row r="4" spans="1:34">
      <c r="A4" s="18">
        <v>3</v>
      </c>
      <c r="B4" s="3" t="s">
        <v>543</v>
      </c>
      <c r="C4" s="3" t="s">
        <v>422</v>
      </c>
      <c r="D4" s="4">
        <v>97</v>
      </c>
      <c r="E4" s="4">
        <v>78</v>
      </c>
      <c r="F4" s="4">
        <v>76</v>
      </c>
      <c r="G4" s="4">
        <v>95</v>
      </c>
      <c r="H4" s="4">
        <v>97</v>
      </c>
      <c r="I4" s="92" t="s">
        <v>442</v>
      </c>
      <c r="J4" s="92" t="s">
        <v>442</v>
      </c>
      <c r="K4" s="92" t="s">
        <v>442</v>
      </c>
      <c r="L4" s="92"/>
      <c r="M4" s="92"/>
      <c r="N4" s="92" t="s">
        <v>442</v>
      </c>
      <c r="O4" s="92"/>
      <c r="P4" s="92" t="s">
        <v>442</v>
      </c>
      <c r="Q4" s="92" t="s">
        <v>442</v>
      </c>
      <c r="R4" s="92" t="s">
        <v>442</v>
      </c>
      <c r="S4" s="92" t="s">
        <v>442</v>
      </c>
      <c r="T4" s="92"/>
      <c r="U4" s="92"/>
      <c r="V4" s="92" t="s">
        <v>442</v>
      </c>
      <c r="W4" s="92" t="s">
        <v>442</v>
      </c>
      <c r="X4" s="92" t="s">
        <v>442</v>
      </c>
      <c r="Y4" s="92"/>
      <c r="Z4" s="92"/>
      <c r="AA4" s="92" t="s">
        <v>442</v>
      </c>
      <c r="AB4" s="92"/>
      <c r="AC4" s="92"/>
      <c r="AD4" s="92"/>
      <c r="AE4" s="92" t="s">
        <v>442</v>
      </c>
      <c r="AF4" s="92" t="s">
        <v>442</v>
      </c>
      <c r="AG4" s="17">
        <f t="shared" si="0"/>
        <v>88.6</v>
      </c>
      <c r="AH4" s="24"/>
    </row>
    <row r="5" spans="1:34">
      <c r="A5" s="18">
        <v>4</v>
      </c>
      <c r="B5" s="3" t="s">
        <v>550</v>
      </c>
      <c r="C5" s="3" t="s">
        <v>418</v>
      </c>
      <c r="D5" s="4">
        <v>98</v>
      </c>
      <c r="E5" s="4">
        <v>93</v>
      </c>
      <c r="F5" s="4">
        <v>87</v>
      </c>
      <c r="G5" s="4">
        <v>81</v>
      </c>
      <c r="H5" s="4">
        <v>90</v>
      </c>
      <c r="I5" s="92" t="s">
        <v>442</v>
      </c>
      <c r="J5" s="92"/>
      <c r="K5" s="92" t="s">
        <v>442</v>
      </c>
      <c r="L5" s="92"/>
      <c r="M5" s="92"/>
      <c r="N5" s="92"/>
      <c r="O5" s="92"/>
      <c r="P5" s="92"/>
      <c r="Q5" s="92"/>
      <c r="R5" s="92"/>
      <c r="S5" s="92" t="s">
        <v>442</v>
      </c>
      <c r="T5" s="92" t="s">
        <v>442</v>
      </c>
      <c r="U5" s="92"/>
      <c r="V5" s="92" t="s">
        <v>442</v>
      </c>
      <c r="W5" s="92" t="s">
        <v>442</v>
      </c>
      <c r="X5" s="92" t="s">
        <v>442</v>
      </c>
      <c r="Y5" s="92"/>
      <c r="Z5" s="92"/>
      <c r="AA5" s="92" t="s">
        <v>442</v>
      </c>
      <c r="AB5" s="92" t="s">
        <v>442</v>
      </c>
      <c r="AC5" s="92"/>
      <c r="AD5" s="92" t="s">
        <v>442</v>
      </c>
      <c r="AE5" s="92" t="s">
        <v>442</v>
      </c>
      <c r="AF5" s="92" t="s">
        <v>442</v>
      </c>
      <c r="AG5" s="17">
        <f t="shared" si="0"/>
        <v>89.8</v>
      </c>
      <c r="AH5" s="24"/>
    </row>
    <row r="6" spans="1:34">
      <c r="A6" s="18">
        <v>5</v>
      </c>
      <c r="B6" s="3" t="s">
        <v>580</v>
      </c>
      <c r="C6" s="3" t="s">
        <v>414</v>
      </c>
      <c r="D6" s="4">
        <v>98</v>
      </c>
      <c r="E6" s="4">
        <v>43</v>
      </c>
      <c r="F6" s="4">
        <v>95</v>
      </c>
      <c r="G6" s="4">
        <v>86</v>
      </c>
      <c r="H6" s="4">
        <v>63</v>
      </c>
      <c r="I6" s="92"/>
      <c r="J6" s="92"/>
      <c r="K6" s="92" t="s">
        <v>442</v>
      </c>
      <c r="L6" s="92" t="s">
        <v>442</v>
      </c>
      <c r="M6" s="92" t="s">
        <v>442</v>
      </c>
      <c r="N6" s="92" t="s">
        <v>442</v>
      </c>
      <c r="O6" s="92" t="s">
        <v>442</v>
      </c>
      <c r="P6" s="92" t="s">
        <v>442</v>
      </c>
      <c r="Q6" s="92" t="s">
        <v>442</v>
      </c>
      <c r="R6" s="92" t="s">
        <v>442</v>
      </c>
      <c r="S6" s="92" t="s">
        <v>442</v>
      </c>
      <c r="T6" s="92"/>
      <c r="U6" s="92" t="s">
        <v>442</v>
      </c>
      <c r="V6" s="92" t="s">
        <v>442</v>
      </c>
      <c r="W6" s="92" t="s">
        <v>442</v>
      </c>
      <c r="X6" s="92" t="s">
        <v>442</v>
      </c>
      <c r="Y6" s="92"/>
      <c r="Z6" s="92"/>
      <c r="AA6" s="92" t="s">
        <v>442</v>
      </c>
      <c r="AB6" s="92" t="s">
        <v>442</v>
      </c>
      <c r="AC6" s="92"/>
      <c r="AD6" s="92" t="s">
        <v>442</v>
      </c>
      <c r="AE6" s="92" t="s">
        <v>442</v>
      </c>
      <c r="AF6" s="92" t="s">
        <v>442</v>
      </c>
      <c r="AG6" s="17">
        <f t="shared" si="0"/>
        <v>77</v>
      </c>
      <c r="AH6" s="24" t="s">
        <v>686</v>
      </c>
    </row>
    <row r="7" spans="1:34">
      <c r="A7" s="18">
        <v>6</v>
      </c>
      <c r="B7" s="3" t="s">
        <v>567</v>
      </c>
      <c r="C7" s="3" t="s">
        <v>423</v>
      </c>
      <c r="D7" s="4">
        <v>98</v>
      </c>
      <c r="E7" s="4">
        <v>81</v>
      </c>
      <c r="F7" s="4">
        <v>93</v>
      </c>
      <c r="G7" s="4">
        <v>89</v>
      </c>
      <c r="H7" s="4">
        <v>98</v>
      </c>
      <c r="I7" s="92" t="s">
        <v>442</v>
      </c>
      <c r="J7" s="92" t="s">
        <v>442</v>
      </c>
      <c r="K7" s="92" t="s">
        <v>442</v>
      </c>
      <c r="L7" s="92"/>
      <c r="M7" s="92"/>
      <c r="N7" s="92"/>
      <c r="O7" s="92"/>
      <c r="P7" s="92" t="s">
        <v>442</v>
      </c>
      <c r="Q7" s="92" t="s">
        <v>442</v>
      </c>
      <c r="R7" s="92"/>
      <c r="S7" s="92" t="s">
        <v>442</v>
      </c>
      <c r="T7" s="92"/>
      <c r="U7" s="92"/>
      <c r="V7" s="92" t="s">
        <v>442</v>
      </c>
      <c r="W7" s="92"/>
      <c r="X7" s="92"/>
      <c r="Y7" s="92"/>
      <c r="Z7" s="92"/>
      <c r="AA7" s="92" t="s">
        <v>442</v>
      </c>
      <c r="AB7" s="92"/>
      <c r="AC7" s="92"/>
      <c r="AD7" s="92" t="s">
        <v>442</v>
      </c>
      <c r="AE7" s="92" t="s">
        <v>442</v>
      </c>
      <c r="AF7" s="92" t="s">
        <v>442</v>
      </c>
      <c r="AG7" s="17">
        <f t="shared" si="0"/>
        <v>91.8</v>
      </c>
      <c r="AH7" s="24" t="s">
        <v>685</v>
      </c>
    </row>
    <row r="8" spans="1:34">
      <c r="A8" s="18">
        <v>7</v>
      </c>
      <c r="B8" s="3"/>
      <c r="C8" s="3" t="s">
        <v>371</v>
      </c>
      <c r="D8" s="4">
        <v>97</v>
      </c>
      <c r="E8" s="4">
        <v>96</v>
      </c>
      <c r="F8" s="4">
        <v>88</v>
      </c>
      <c r="G8" s="4">
        <v>82</v>
      </c>
      <c r="H8" s="4">
        <v>91</v>
      </c>
      <c r="I8" s="92"/>
      <c r="J8" s="92" t="s">
        <v>442</v>
      </c>
      <c r="K8" s="92" t="s">
        <v>442</v>
      </c>
      <c r="L8" s="92" t="s">
        <v>442</v>
      </c>
      <c r="M8" s="92"/>
      <c r="N8" s="92"/>
      <c r="O8" s="92"/>
      <c r="P8" s="92"/>
      <c r="Q8" s="92" t="s">
        <v>442</v>
      </c>
      <c r="R8" s="92" t="s">
        <v>442</v>
      </c>
      <c r="S8" s="92" t="s">
        <v>442</v>
      </c>
      <c r="T8" s="92" t="s">
        <v>442</v>
      </c>
      <c r="U8" s="92"/>
      <c r="V8" s="92" t="s">
        <v>442</v>
      </c>
      <c r="W8" s="92" t="s">
        <v>442</v>
      </c>
      <c r="X8" s="92" t="s">
        <v>442</v>
      </c>
      <c r="Y8" s="92"/>
      <c r="Z8" s="92"/>
      <c r="AA8" s="92" t="s">
        <v>442</v>
      </c>
      <c r="AB8" s="92"/>
      <c r="AC8" s="92"/>
      <c r="AD8" s="92" t="s">
        <v>442</v>
      </c>
      <c r="AE8" s="92"/>
      <c r="AF8" s="92"/>
      <c r="AG8" s="17">
        <f t="shared" si="0"/>
        <v>90.8</v>
      </c>
      <c r="AH8" s="24"/>
    </row>
    <row r="9" spans="1:34">
      <c r="A9" s="18">
        <v>8</v>
      </c>
      <c r="B9" s="3" t="s">
        <v>545</v>
      </c>
      <c r="C9" s="3" t="s">
        <v>419</v>
      </c>
      <c r="D9" s="4">
        <v>88</v>
      </c>
      <c r="E9" s="4">
        <v>53</v>
      </c>
      <c r="F9" s="4">
        <v>98</v>
      </c>
      <c r="G9" s="4">
        <v>82</v>
      </c>
      <c r="H9" s="4">
        <v>81</v>
      </c>
      <c r="I9" s="92"/>
      <c r="J9" s="92"/>
      <c r="K9" s="92"/>
      <c r="L9" s="92"/>
      <c r="M9" s="92" t="s">
        <v>442</v>
      </c>
      <c r="N9" s="92" t="s">
        <v>442</v>
      </c>
      <c r="O9" s="92" t="s">
        <v>442</v>
      </c>
      <c r="P9" s="92" t="s">
        <v>442</v>
      </c>
      <c r="Q9" s="92" t="s">
        <v>442</v>
      </c>
      <c r="R9" s="92" t="s">
        <v>442</v>
      </c>
      <c r="S9" s="92"/>
      <c r="T9" s="92"/>
      <c r="U9" s="92" t="s">
        <v>442</v>
      </c>
      <c r="V9" s="92" t="s">
        <v>442</v>
      </c>
      <c r="W9" s="92" t="s">
        <v>442</v>
      </c>
      <c r="X9" s="92" t="s">
        <v>442</v>
      </c>
      <c r="Y9" s="92" t="s">
        <v>442</v>
      </c>
      <c r="Z9" s="92" t="s">
        <v>442</v>
      </c>
      <c r="AA9" s="92" t="s">
        <v>442</v>
      </c>
      <c r="AB9" s="92"/>
      <c r="AC9" s="92" t="s">
        <v>442</v>
      </c>
      <c r="AD9" s="92"/>
      <c r="AE9" s="92"/>
      <c r="AF9" s="92" t="s">
        <v>442</v>
      </c>
      <c r="AG9" s="17">
        <f t="shared" si="0"/>
        <v>80.400000000000006</v>
      </c>
      <c r="AH9" s="24" t="s">
        <v>680</v>
      </c>
    </row>
    <row r="10" spans="1:34">
      <c r="A10" s="18">
        <v>9</v>
      </c>
      <c r="B10" s="3" t="s">
        <v>542</v>
      </c>
      <c r="C10" s="3" t="s">
        <v>424</v>
      </c>
      <c r="D10" s="4">
        <v>100</v>
      </c>
      <c r="E10" s="4">
        <v>42</v>
      </c>
      <c r="F10" s="4">
        <v>82</v>
      </c>
      <c r="G10" s="4">
        <v>100</v>
      </c>
      <c r="H10" s="4">
        <v>100</v>
      </c>
      <c r="I10" s="92" t="s">
        <v>442</v>
      </c>
      <c r="J10" s="92" t="s">
        <v>442</v>
      </c>
      <c r="K10" s="92" t="s">
        <v>442</v>
      </c>
      <c r="L10" s="92"/>
      <c r="M10" s="92"/>
      <c r="N10" s="92"/>
      <c r="O10" s="92"/>
      <c r="P10" s="92"/>
      <c r="Q10" s="92"/>
      <c r="R10" s="92" t="s">
        <v>442</v>
      </c>
      <c r="S10" s="92"/>
      <c r="T10" s="92"/>
      <c r="U10" s="92"/>
      <c r="V10" s="92" t="s">
        <v>442</v>
      </c>
      <c r="W10" s="92"/>
      <c r="X10" s="92"/>
      <c r="Y10" s="92"/>
      <c r="Z10" s="92"/>
      <c r="AA10" s="92" t="s">
        <v>442</v>
      </c>
      <c r="AB10" s="92"/>
      <c r="AC10" s="92"/>
      <c r="AD10" s="92" t="s">
        <v>442</v>
      </c>
      <c r="AE10" s="92"/>
      <c r="AF10" s="92" t="s">
        <v>442</v>
      </c>
      <c r="AG10" s="17">
        <f t="shared" si="0"/>
        <v>84.8</v>
      </c>
      <c r="AH10" s="24" t="s">
        <v>683</v>
      </c>
    </row>
    <row r="11" spans="1:34">
      <c r="A11" s="18">
        <v>10</v>
      </c>
      <c r="B11" s="23" t="s">
        <v>546</v>
      </c>
      <c r="C11" s="3" t="s">
        <v>444</v>
      </c>
      <c r="D11" s="4">
        <v>98</v>
      </c>
      <c r="E11" s="4">
        <v>96</v>
      </c>
      <c r="F11" s="4">
        <v>72</v>
      </c>
      <c r="G11" s="4">
        <v>68</v>
      </c>
      <c r="H11" s="4">
        <v>90</v>
      </c>
      <c r="I11" s="93"/>
      <c r="J11" s="93"/>
      <c r="K11" s="92" t="s">
        <v>442</v>
      </c>
      <c r="L11" s="93"/>
      <c r="M11" s="93"/>
      <c r="N11" s="93"/>
      <c r="O11" s="93"/>
      <c r="P11" s="92" t="s">
        <v>442</v>
      </c>
      <c r="Q11" s="93"/>
      <c r="R11" s="93"/>
      <c r="S11" s="92" t="s">
        <v>442</v>
      </c>
      <c r="T11" s="92" t="s">
        <v>442</v>
      </c>
      <c r="U11" s="93"/>
      <c r="V11" s="92" t="s">
        <v>442</v>
      </c>
      <c r="W11" s="92" t="s">
        <v>442</v>
      </c>
      <c r="X11" s="92" t="s">
        <v>442</v>
      </c>
      <c r="Y11" s="93"/>
      <c r="Z11" s="93"/>
      <c r="AA11" s="92" t="s">
        <v>442</v>
      </c>
      <c r="AB11" s="93"/>
      <c r="AC11" s="93"/>
      <c r="AD11" s="93"/>
      <c r="AE11" s="92" t="s">
        <v>442</v>
      </c>
      <c r="AF11" s="93"/>
      <c r="AG11" s="17">
        <f t="shared" si="0"/>
        <v>84.8</v>
      </c>
      <c r="AH11" s="24"/>
    </row>
    <row r="12" spans="1:34">
      <c r="A12" s="18">
        <v>11</v>
      </c>
      <c r="B12" s="23" t="s">
        <v>604</v>
      </c>
      <c r="C12" s="3" t="s">
        <v>443</v>
      </c>
      <c r="D12" s="4">
        <v>90</v>
      </c>
      <c r="E12" s="4">
        <v>76</v>
      </c>
      <c r="F12" s="4">
        <v>91</v>
      </c>
      <c r="G12" s="4">
        <v>80</v>
      </c>
      <c r="H12" s="4">
        <v>88</v>
      </c>
      <c r="I12" s="93"/>
      <c r="J12" s="93"/>
      <c r="K12" s="92" t="s">
        <v>442</v>
      </c>
      <c r="L12" s="93"/>
      <c r="M12" s="93"/>
      <c r="N12" s="93"/>
      <c r="O12" s="93"/>
      <c r="P12" s="92" t="s">
        <v>442</v>
      </c>
      <c r="Q12" s="93"/>
      <c r="R12" s="92" t="s">
        <v>442</v>
      </c>
      <c r="S12" s="93"/>
      <c r="T12" s="93"/>
      <c r="U12" s="92" t="s">
        <v>442</v>
      </c>
      <c r="V12" s="92" t="s">
        <v>442</v>
      </c>
      <c r="W12" s="92" t="s">
        <v>442</v>
      </c>
      <c r="X12" s="92" t="s">
        <v>442</v>
      </c>
      <c r="Y12" s="92" t="s">
        <v>442</v>
      </c>
      <c r="Z12" s="92" t="s">
        <v>442</v>
      </c>
      <c r="AA12" s="92" t="s">
        <v>442</v>
      </c>
      <c r="AB12" s="92" t="s">
        <v>442</v>
      </c>
      <c r="AC12" s="93"/>
      <c r="AD12" s="92" t="s">
        <v>442</v>
      </c>
      <c r="AE12" s="92" t="s">
        <v>442</v>
      </c>
      <c r="AF12" s="92" t="s">
        <v>442</v>
      </c>
      <c r="AG12" s="17">
        <f t="shared" si="0"/>
        <v>85</v>
      </c>
      <c r="AH12" s="24"/>
    </row>
    <row r="13" spans="1:34">
      <c r="A13" s="18">
        <v>12</v>
      </c>
      <c r="B13" s="3" t="s">
        <v>551</v>
      </c>
      <c r="C13" s="3" t="s">
        <v>448</v>
      </c>
      <c r="D13" s="4">
        <v>73</v>
      </c>
      <c r="E13" s="4">
        <v>58</v>
      </c>
      <c r="F13" s="4">
        <v>75</v>
      </c>
      <c r="G13" s="4">
        <v>95</v>
      </c>
      <c r="H13" s="4">
        <v>94</v>
      </c>
      <c r="I13" s="92" t="s">
        <v>442</v>
      </c>
      <c r="J13" s="92" t="s">
        <v>442</v>
      </c>
      <c r="K13" s="92" t="s">
        <v>442</v>
      </c>
      <c r="L13" s="92"/>
      <c r="M13" s="92" t="s">
        <v>442</v>
      </c>
      <c r="N13" s="92" t="s">
        <v>442</v>
      </c>
      <c r="O13" s="92" t="s">
        <v>442</v>
      </c>
      <c r="P13" s="92"/>
      <c r="Q13" s="92" t="s">
        <v>442</v>
      </c>
      <c r="R13" s="92"/>
      <c r="S13" s="92"/>
      <c r="T13" s="92"/>
      <c r="U13" s="92" t="s">
        <v>442</v>
      </c>
      <c r="V13" s="92"/>
      <c r="W13" s="92"/>
      <c r="X13" s="92" t="s">
        <v>442</v>
      </c>
      <c r="Y13" s="92"/>
      <c r="Z13" s="92"/>
      <c r="AA13" s="92"/>
      <c r="AB13" s="92" t="s">
        <v>442</v>
      </c>
      <c r="AC13" s="92"/>
      <c r="AD13" s="92" t="s">
        <v>442</v>
      </c>
      <c r="AE13" s="92"/>
      <c r="AF13" s="92" t="s">
        <v>442</v>
      </c>
      <c r="AG13" s="17">
        <f t="shared" si="0"/>
        <v>79</v>
      </c>
      <c r="AH13" s="24"/>
    </row>
    <row r="14" spans="1:34">
      <c r="A14" s="18">
        <v>13</v>
      </c>
      <c r="B14" s="3"/>
      <c r="C14" s="3" t="s">
        <v>450</v>
      </c>
      <c r="D14" s="4">
        <v>88</v>
      </c>
      <c r="E14" s="4">
        <v>79</v>
      </c>
      <c r="F14" s="4">
        <v>90</v>
      </c>
      <c r="G14" s="4">
        <v>92</v>
      </c>
      <c r="H14" s="4">
        <v>68</v>
      </c>
      <c r="I14" s="92"/>
      <c r="J14" s="92"/>
      <c r="K14" s="92" t="s">
        <v>442</v>
      </c>
      <c r="L14" s="92"/>
      <c r="M14" s="92"/>
      <c r="N14" s="92"/>
      <c r="O14" s="92" t="s">
        <v>442</v>
      </c>
      <c r="P14" s="92" t="s">
        <v>442</v>
      </c>
      <c r="Q14" s="92"/>
      <c r="R14" s="92"/>
      <c r="S14" s="92" t="s">
        <v>442</v>
      </c>
      <c r="T14" s="92"/>
      <c r="U14" s="92"/>
      <c r="V14" s="92" t="s">
        <v>442</v>
      </c>
      <c r="W14" s="92" t="s">
        <v>442</v>
      </c>
      <c r="X14" s="92" t="s">
        <v>442</v>
      </c>
      <c r="Y14" s="92" t="s">
        <v>442</v>
      </c>
      <c r="Z14" s="92" t="s">
        <v>442</v>
      </c>
      <c r="AA14" s="92" t="s">
        <v>442</v>
      </c>
      <c r="AB14" s="92"/>
      <c r="AC14" s="92"/>
      <c r="AD14" s="92" t="s">
        <v>442</v>
      </c>
      <c r="AE14" s="92" t="s">
        <v>442</v>
      </c>
      <c r="AF14" s="92" t="s">
        <v>442</v>
      </c>
      <c r="AG14" s="17">
        <f t="shared" si="0"/>
        <v>83.4</v>
      </c>
      <c r="AH14" s="24" t="s">
        <v>678</v>
      </c>
    </row>
    <row r="15" spans="1:34">
      <c r="A15" s="18">
        <v>14</v>
      </c>
      <c r="B15" s="23" t="s">
        <v>547</v>
      </c>
      <c r="C15" s="3" t="s">
        <v>445</v>
      </c>
      <c r="D15" s="4">
        <v>95</v>
      </c>
      <c r="E15" s="4">
        <v>96</v>
      </c>
      <c r="F15" s="4">
        <v>60</v>
      </c>
      <c r="G15" s="4">
        <v>64</v>
      </c>
      <c r="H15" s="4">
        <v>71</v>
      </c>
      <c r="I15" s="93"/>
      <c r="J15" s="93"/>
      <c r="K15" s="93"/>
      <c r="L15" s="93"/>
      <c r="M15" s="93"/>
      <c r="N15" s="93"/>
      <c r="O15" s="92" t="s">
        <v>442</v>
      </c>
      <c r="P15" s="92" t="s">
        <v>442</v>
      </c>
      <c r="Q15" s="93"/>
      <c r="R15" s="93"/>
      <c r="S15" s="92" t="s">
        <v>442</v>
      </c>
      <c r="T15" s="92" t="s">
        <v>442</v>
      </c>
      <c r="U15" s="92" t="s">
        <v>442</v>
      </c>
      <c r="V15" s="92" t="s">
        <v>442</v>
      </c>
      <c r="W15" s="92" t="s">
        <v>442</v>
      </c>
      <c r="X15" s="92" t="s">
        <v>442</v>
      </c>
      <c r="Y15" s="93"/>
      <c r="Z15" s="93"/>
      <c r="AA15" s="93"/>
      <c r="AB15" s="92" t="s">
        <v>442</v>
      </c>
      <c r="AC15" s="93"/>
      <c r="AD15" s="93"/>
      <c r="AE15" s="92" t="s">
        <v>442</v>
      </c>
      <c r="AF15" s="93"/>
      <c r="AG15" s="17">
        <f t="shared" si="0"/>
        <v>77.2</v>
      </c>
      <c r="AH15" s="24"/>
    </row>
    <row r="16" spans="1:34">
      <c r="A16" s="18">
        <v>15</v>
      </c>
      <c r="B16" s="23"/>
      <c r="C16" s="3" t="s">
        <v>446</v>
      </c>
      <c r="D16" s="4">
        <v>38</v>
      </c>
      <c r="E16" s="4">
        <v>23</v>
      </c>
      <c r="F16" s="4">
        <v>100</v>
      </c>
      <c r="G16" s="4">
        <v>52</v>
      </c>
      <c r="H16" s="4">
        <v>92</v>
      </c>
      <c r="I16" s="93"/>
      <c r="J16" s="92" t="s">
        <v>442</v>
      </c>
      <c r="K16" s="92" t="s">
        <v>442</v>
      </c>
      <c r="L16" s="92" t="s">
        <v>442</v>
      </c>
      <c r="M16" s="93"/>
      <c r="N16" s="93"/>
      <c r="O16" s="93"/>
      <c r="P16" s="93"/>
      <c r="Q16" s="92" t="s">
        <v>442</v>
      </c>
      <c r="R16" s="93"/>
      <c r="S16" s="93"/>
      <c r="T16" s="93"/>
      <c r="U16" s="93"/>
      <c r="V16" s="92" t="s">
        <v>442</v>
      </c>
      <c r="W16" s="92" t="s">
        <v>442</v>
      </c>
      <c r="X16" s="92" t="s">
        <v>442</v>
      </c>
      <c r="Y16" s="92" t="s">
        <v>442</v>
      </c>
      <c r="Z16" s="92" t="s">
        <v>442</v>
      </c>
      <c r="AA16" s="92" t="s">
        <v>442</v>
      </c>
      <c r="AB16" s="92" t="s">
        <v>442</v>
      </c>
      <c r="AC16" s="92" t="s">
        <v>442</v>
      </c>
      <c r="AD16" s="92" t="s">
        <v>442</v>
      </c>
      <c r="AE16" s="93"/>
      <c r="AF16" s="92" t="s">
        <v>442</v>
      </c>
      <c r="AG16" s="17">
        <f t="shared" si="0"/>
        <v>61</v>
      </c>
      <c r="AH16" s="24" t="s">
        <v>679</v>
      </c>
    </row>
    <row r="17" spans="1:34">
      <c r="A17" s="18">
        <v>16</v>
      </c>
      <c r="B17" s="3" t="s">
        <v>549</v>
      </c>
      <c r="C17" s="3" t="s">
        <v>449</v>
      </c>
      <c r="D17" s="4">
        <v>97</v>
      </c>
      <c r="E17" s="4">
        <v>95</v>
      </c>
      <c r="F17" s="4">
        <v>64</v>
      </c>
      <c r="G17" s="4">
        <v>63</v>
      </c>
      <c r="H17" s="4">
        <v>73</v>
      </c>
      <c r="I17" s="92"/>
      <c r="J17" s="92"/>
      <c r="K17" s="92" t="s">
        <v>442</v>
      </c>
      <c r="L17" s="92"/>
      <c r="M17" s="92"/>
      <c r="N17" s="92"/>
      <c r="O17" s="92"/>
      <c r="P17" s="92" t="s">
        <v>442</v>
      </c>
      <c r="Q17" s="92"/>
      <c r="R17" s="92"/>
      <c r="S17" s="92" t="s">
        <v>442</v>
      </c>
      <c r="T17" s="92"/>
      <c r="U17" s="92"/>
      <c r="V17" s="92" t="s">
        <v>442</v>
      </c>
      <c r="W17" s="92" t="s">
        <v>442</v>
      </c>
      <c r="X17" s="92" t="s">
        <v>442</v>
      </c>
      <c r="Y17" s="92"/>
      <c r="Z17" s="92"/>
      <c r="AA17" s="92" t="s">
        <v>442</v>
      </c>
      <c r="AB17" s="92"/>
      <c r="AC17" s="92"/>
      <c r="AD17" s="92"/>
      <c r="AE17" s="92" t="s">
        <v>442</v>
      </c>
      <c r="AF17" s="92"/>
      <c r="AG17" s="17">
        <f t="shared" si="0"/>
        <v>78.400000000000006</v>
      </c>
      <c r="AH17" s="24"/>
    </row>
    <row r="18" spans="1:34">
      <c r="A18" s="18">
        <v>17</v>
      </c>
      <c r="B18" s="23" t="s">
        <v>558</v>
      </c>
      <c r="C18" s="3" t="s">
        <v>447</v>
      </c>
      <c r="D18" s="4">
        <v>92</v>
      </c>
      <c r="E18" s="4">
        <v>94</v>
      </c>
      <c r="F18" s="4">
        <v>66</v>
      </c>
      <c r="G18" s="4">
        <v>63</v>
      </c>
      <c r="H18" s="4">
        <v>88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2" t="s">
        <v>442</v>
      </c>
      <c r="T18" s="92" t="s">
        <v>442</v>
      </c>
      <c r="U18" s="93"/>
      <c r="V18" s="92" t="s">
        <v>442</v>
      </c>
      <c r="W18" s="92" t="s">
        <v>442</v>
      </c>
      <c r="X18" s="92" t="s">
        <v>442</v>
      </c>
      <c r="Y18" s="93"/>
      <c r="Z18" s="93"/>
      <c r="AA18" s="93"/>
      <c r="AB18" s="93"/>
      <c r="AC18" s="93"/>
      <c r="AD18" s="93"/>
      <c r="AE18" s="92" t="s">
        <v>442</v>
      </c>
      <c r="AF18" s="93"/>
      <c r="AG18" s="17">
        <f t="shared" si="0"/>
        <v>80.599999999999994</v>
      </c>
      <c r="AH18" s="24"/>
    </row>
    <row r="19" spans="1:34">
      <c r="A19" s="18">
        <v>18</v>
      </c>
      <c r="B19" s="3" t="s">
        <v>555</v>
      </c>
      <c r="C19" s="3" t="s">
        <v>426</v>
      </c>
      <c r="D19" s="4">
        <v>95</v>
      </c>
      <c r="E19" s="4">
        <v>99</v>
      </c>
      <c r="F19" s="4">
        <v>39</v>
      </c>
      <c r="G19" s="4">
        <v>33</v>
      </c>
      <c r="H19" s="4">
        <v>79</v>
      </c>
      <c r="I19" s="92"/>
      <c r="J19" s="92"/>
      <c r="K19" s="92"/>
      <c r="L19" s="92"/>
      <c r="M19" s="92"/>
      <c r="N19" s="92"/>
      <c r="O19" s="92"/>
      <c r="P19" s="92"/>
      <c r="Q19" s="92"/>
      <c r="R19" s="92" t="s">
        <v>442</v>
      </c>
      <c r="S19" s="92"/>
      <c r="T19" s="92"/>
      <c r="U19" s="92" t="s">
        <v>442</v>
      </c>
      <c r="V19" s="92" t="s">
        <v>442</v>
      </c>
      <c r="W19" s="92" t="s">
        <v>442</v>
      </c>
      <c r="X19" s="92"/>
      <c r="Y19" s="92"/>
      <c r="Z19" s="92"/>
      <c r="AA19" s="92"/>
      <c r="AB19" s="92"/>
      <c r="AC19" s="92"/>
      <c r="AD19" s="92"/>
      <c r="AE19" s="92" t="s">
        <v>442</v>
      </c>
      <c r="AF19" s="92"/>
      <c r="AG19" s="17">
        <f t="shared" si="0"/>
        <v>69</v>
      </c>
      <c r="AH19" s="24"/>
    </row>
    <row r="20" spans="1:34">
      <c r="A20" s="18">
        <v>19</v>
      </c>
      <c r="B20" s="3" t="s">
        <v>553</v>
      </c>
      <c r="C20" s="3" t="s">
        <v>415</v>
      </c>
      <c r="D20" s="4">
        <v>76</v>
      </c>
      <c r="E20" s="4">
        <v>63</v>
      </c>
      <c r="F20" s="4">
        <v>72</v>
      </c>
      <c r="G20" s="4">
        <v>92</v>
      </c>
      <c r="H20" s="4">
        <v>71</v>
      </c>
      <c r="I20" s="92" t="s">
        <v>442</v>
      </c>
      <c r="J20" s="92" t="s">
        <v>442</v>
      </c>
      <c r="K20" s="92" t="s">
        <v>442</v>
      </c>
      <c r="L20" s="92"/>
      <c r="M20" s="92" t="s">
        <v>442</v>
      </c>
      <c r="N20" s="92"/>
      <c r="O20" s="92" t="s">
        <v>442</v>
      </c>
      <c r="P20" s="92" t="s">
        <v>442</v>
      </c>
      <c r="Q20" s="92" t="s">
        <v>442</v>
      </c>
      <c r="R20" s="92"/>
      <c r="S20" s="92"/>
      <c r="T20" s="92"/>
      <c r="U20" s="92"/>
      <c r="V20" s="92" t="s">
        <v>442</v>
      </c>
      <c r="W20" s="92"/>
      <c r="X20" s="92"/>
      <c r="Y20" s="92"/>
      <c r="Z20" s="92"/>
      <c r="AA20" s="92"/>
      <c r="AB20" s="92"/>
      <c r="AC20" s="92"/>
      <c r="AD20" s="92"/>
      <c r="AE20" s="92"/>
      <c r="AF20" s="92" t="s">
        <v>442</v>
      </c>
      <c r="AG20" s="17">
        <f t="shared" si="0"/>
        <v>74.8</v>
      </c>
      <c r="AH20" s="24"/>
    </row>
    <row r="21" spans="1:34">
      <c r="A21" s="18">
        <v>20</v>
      </c>
      <c r="B21" s="23" t="s">
        <v>540</v>
      </c>
      <c r="C21" s="3" t="s">
        <v>539</v>
      </c>
      <c r="D21" s="4">
        <v>89</v>
      </c>
      <c r="E21" s="4">
        <v>77</v>
      </c>
      <c r="F21" s="4">
        <v>61</v>
      </c>
      <c r="G21" s="4">
        <v>63</v>
      </c>
      <c r="H21" s="4">
        <v>82</v>
      </c>
      <c r="I21" s="93"/>
      <c r="J21" s="93"/>
      <c r="K21" s="92" t="s">
        <v>442</v>
      </c>
      <c r="L21" s="93"/>
      <c r="M21" s="93"/>
      <c r="N21" s="93"/>
      <c r="O21" s="92" t="s">
        <v>442</v>
      </c>
      <c r="P21" s="92" t="s">
        <v>442</v>
      </c>
      <c r="Q21" s="92" t="s">
        <v>442</v>
      </c>
      <c r="R21" s="93"/>
      <c r="S21" s="92" t="s">
        <v>442</v>
      </c>
      <c r="T21" s="92" t="s">
        <v>442</v>
      </c>
      <c r="U21" s="93"/>
      <c r="V21" s="92" t="s">
        <v>442</v>
      </c>
      <c r="W21" s="92" t="s">
        <v>442</v>
      </c>
      <c r="X21" s="92" t="s">
        <v>442</v>
      </c>
      <c r="Y21" s="93"/>
      <c r="Z21" s="93"/>
      <c r="AA21" s="92" t="s">
        <v>442</v>
      </c>
      <c r="AB21" s="93"/>
      <c r="AC21" s="93"/>
      <c r="AD21" s="93"/>
      <c r="AE21" s="92" t="s">
        <v>442</v>
      </c>
      <c r="AF21" s="92" t="s">
        <v>442</v>
      </c>
      <c r="AG21" s="17">
        <f t="shared" si="0"/>
        <v>74.400000000000006</v>
      </c>
      <c r="AH21" s="24"/>
    </row>
    <row r="22" spans="1:34">
      <c r="A22" s="18">
        <v>21</v>
      </c>
      <c r="B22" s="23"/>
      <c r="C22" s="3" t="s">
        <v>459</v>
      </c>
      <c r="D22" s="4">
        <v>96</v>
      </c>
      <c r="E22" s="4">
        <v>97</v>
      </c>
      <c r="F22" s="4">
        <v>50</v>
      </c>
      <c r="G22" s="4">
        <v>43</v>
      </c>
      <c r="H22" s="4">
        <v>56</v>
      </c>
      <c r="I22" s="93"/>
      <c r="J22" s="93"/>
      <c r="K22" s="92" t="s">
        <v>442</v>
      </c>
      <c r="L22" s="93"/>
      <c r="M22" s="93"/>
      <c r="N22" s="93"/>
      <c r="O22" s="93"/>
      <c r="P22" s="92" t="s">
        <v>442</v>
      </c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2" t="s">
        <v>442</v>
      </c>
      <c r="AB22" s="93"/>
      <c r="AC22" s="93"/>
      <c r="AD22" s="93"/>
      <c r="AE22" s="92" t="s">
        <v>442</v>
      </c>
      <c r="AF22" s="93"/>
      <c r="AG22" s="17">
        <f t="shared" si="0"/>
        <v>68.400000000000006</v>
      </c>
      <c r="AH22" s="24" t="s">
        <v>681</v>
      </c>
    </row>
    <row r="23" spans="1:34">
      <c r="A23" s="18">
        <v>22</v>
      </c>
      <c r="B23" s="23" t="s">
        <v>564</v>
      </c>
      <c r="C23" s="3" t="s">
        <v>465</v>
      </c>
      <c r="D23" s="4">
        <v>87</v>
      </c>
      <c r="E23" s="4">
        <v>95</v>
      </c>
      <c r="F23" s="4">
        <v>51</v>
      </c>
      <c r="G23" s="4">
        <v>49</v>
      </c>
      <c r="H23" s="4">
        <v>75</v>
      </c>
      <c r="I23" s="93"/>
      <c r="J23" s="93"/>
      <c r="K23" s="92" t="s">
        <v>442</v>
      </c>
      <c r="L23" s="93"/>
      <c r="M23" s="93"/>
      <c r="N23" s="93"/>
      <c r="O23" s="93"/>
      <c r="P23" s="93"/>
      <c r="Q23" s="93"/>
      <c r="R23" s="93"/>
      <c r="S23" s="92" t="s">
        <v>442</v>
      </c>
      <c r="T23" s="92" t="s">
        <v>442</v>
      </c>
      <c r="U23" s="93"/>
      <c r="V23" s="92" t="s">
        <v>442</v>
      </c>
      <c r="W23" s="92" t="s">
        <v>442</v>
      </c>
      <c r="X23" s="93"/>
      <c r="Y23" s="93"/>
      <c r="Z23" s="93"/>
      <c r="AA23" s="92" t="s">
        <v>442</v>
      </c>
      <c r="AB23" s="93"/>
      <c r="AC23" s="93"/>
      <c r="AD23" s="93"/>
      <c r="AE23" s="93"/>
      <c r="AF23" s="92" t="s">
        <v>442</v>
      </c>
      <c r="AG23" s="17">
        <f t="shared" si="0"/>
        <v>71.400000000000006</v>
      </c>
      <c r="AH23" s="24"/>
    </row>
    <row r="24" spans="1:34">
      <c r="A24" s="18">
        <v>23</v>
      </c>
      <c r="B24" s="3" t="s">
        <v>561</v>
      </c>
      <c r="C24" s="3" t="s">
        <v>416</v>
      </c>
      <c r="D24" s="4">
        <v>82</v>
      </c>
      <c r="E24" s="4">
        <v>47</v>
      </c>
      <c r="F24" s="4">
        <v>81</v>
      </c>
      <c r="G24" s="4">
        <v>85</v>
      </c>
      <c r="H24" s="4">
        <v>86</v>
      </c>
      <c r="I24" s="92" t="s">
        <v>442</v>
      </c>
      <c r="J24" s="92" t="s">
        <v>442</v>
      </c>
      <c r="K24" s="92" t="s">
        <v>442</v>
      </c>
      <c r="L24" s="92"/>
      <c r="M24" s="92" t="s">
        <v>442</v>
      </c>
      <c r="N24" s="92" t="s">
        <v>442</v>
      </c>
      <c r="O24" s="92" t="s">
        <v>442</v>
      </c>
      <c r="P24" s="92" t="s">
        <v>442</v>
      </c>
      <c r="Q24" s="92" t="s">
        <v>442</v>
      </c>
      <c r="R24" s="92"/>
      <c r="S24" s="92"/>
      <c r="T24" s="92"/>
      <c r="U24" s="92"/>
      <c r="V24" s="92" t="s">
        <v>442</v>
      </c>
      <c r="W24" s="92" t="s">
        <v>442</v>
      </c>
      <c r="X24" s="92"/>
      <c r="Y24" s="92"/>
      <c r="Z24" s="92"/>
      <c r="AA24" s="92" t="s">
        <v>442</v>
      </c>
      <c r="AB24" s="92" t="s">
        <v>442</v>
      </c>
      <c r="AC24" s="92"/>
      <c r="AD24" s="92"/>
      <c r="AE24" s="92"/>
      <c r="AF24" s="92" t="s">
        <v>442</v>
      </c>
      <c r="AG24" s="17">
        <f t="shared" si="0"/>
        <v>76.2</v>
      </c>
      <c r="AH24" s="24"/>
    </row>
    <row r="25" spans="1:34">
      <c r="A25" s="18">
        <v>24</v>
      </c>
      <c r="B25" s="23" t="s">
        <v>675</v>
      </c>
      <c r="C25" s="3" t="s">
        <v>455</v>
      </c>
      <c r="D25" s="4">
        <v>81</v>
      </c>
      <c r="E25" s="4">
        <v>72</v>
      </c>
      <c r="F25" s="4">
        <v>69</v>
      </c>
      <c r="G25" s="4">
        <v>61</v>
      </c>
      <c r="H25" s="4">
        <v>91</v>
      </c>
      <c r="I25" s="93"/>
      <c r="J25" s="93"/>
      <c r="K25" s="93"/>
      <c r="L25" s="93"/>
      <c r="M25" s="93"/>
      <c r="N25" s="93"/>
      <c r="O25" s="92" t="s">
        <v>442</v>
      </c>
      <c r="P25" s="93"/>
      <c r="Q25" s="92" t="s">
        <v>442</v>
      </c>
      <c r="R25" s="93"/>
      <c r="S25" s="92" t="s">
        <v>442</v>
      </c>
      <c r="T25" s="92" t="s">
        <v>442</v>
      </c>
      <c r="U25" s="93"/>
      <c r="V25" s="92" t="s">
        <v>442</v>
      </c>
      <c r="W25" s="92" t="s">
        <v>442</v>
      </c>
      <c r="X25" s="92" t="s">
        <v>442</v>
      </c>
      <c r="Y25" s="93"/>
      <c r="Z25" s="93"/>
      <c r="AA25" s="93"/>
      <c r="AB25" s="93"/>
      <c r="AC25" s="93"/>
      <c r="AD25" s="92" t="s">
        <v>442</v>
      </c>
      <c r="AE25" s="93"/>
      <c r="AF25" s="92" t="s">
        <v>442</v>
      </c>
      <c r="AG25" s="17">
        <f t="shared" si="0"/>
        <v>74.8</v>
      </c>
      <c r="AH25" s="24" t="s">
        <v>676</v>
      </c>
    </row>
    <row r="26" spans="1:34">
      <c r="A26" s="18">
        <v>25</v>
      </c>
      <c r="B26" s="23" t="s">
        <v>578</v>
      </c>
      <c r="C26" s="3" t="s">
        <v>456</v>
      </c>
      <c r="D26" s="4">
        <v>90</v>
      </c>
      <c r="E26" s="4">
        <v>63</v>
      </c>
      <c r="F26" s="4">
        <v>63</v>
      </c>
      <c r="G26" s="4">
        <v>59</v>
      </c>
      <c r="H26" s="4">
        <v>81</v>
      </c>
      <c r="I26" s="93"/>
      <c r="J26" s="93"/>
      <c r="K26" s="92" t="s">
        <v>442</v>
      </c>
      <c r="L26" s="92" t="s">
        <v>442</v>
      </c>
      <c r="M26" s="93"/>
      <c r="N26" s="93"/>
      <c r="O26" s="93"/>
      <c r="P26" s="93"/>
      <c r="Q26" s="92" t="s">
        <v>442</v>
      </c>
      <c r="R26" s="93"/>
      <c r="S26" s="93"/>
      <c r="T26" s="93"/>
      <c r="U26" s="92" t="s">
        <v>442</v>
      </c>
      <c r="V26" s="92" t="s">
        <v>442</v>
      </c>
      <c r="W26" s="92" t="s">
        <v>442</v>
      </c>
      <c r="X26" s="92" t="s">
        <v>442</v>
      </c>
      <c r="Y26" s="93"/>
      <c r="Z26" s="93"/>
      <c r="AA26" s="93"/>
      <c r="AB26" s="92" t="s">
        <v>442</v>
      </c>
      <c r="AC26" s="93"/>
      <c r="AD26" s="92" t="s">
        <v>442</v>
      </c>
      <c r="AE26" s="92" t="s">
        <v>442</v>
      </c>
      <c r="AF26" s="92" t="s">
        <v>442</v>
      </c>
      <c r="AG26" s="17">
        <f t="shared" si="0"/>
        <v>71.2</v>
      </c>
      <c r="AH26" s="24"/>
    </row>
    <row r="27" spans="1:34">
      <c r="A27" s="18">
        <v>26</v>
      </c>
      <c r="B27" s="23" t="s">
        <v>556</v>
      </c>
      <c r="C27" s="3" t="s">
        <v>457</v>
      </c>
      <c r="D27" s="4">
        <v>96</v>
      </c>
      <c r="E27" s="4">
        <v>97</v>
      </c>
      <c r="F27" s="4">
        <v>44</v>
      </c>
      <c r="G27" s="4">
        <v>41</v>
      </c>
      <c r="H27" s="4">
        <v>65</v>
      </c>
      <c r="I27" s="93"/>
      <c r="J27" s="93"/>
      <c r="K27" s="93"/>
      <c r="L27" s="93"/>
      <c r="M27" s="93"/>
      <c r="N27" s="93"/>
      <c r="O27" s="93"/>
      <c r="P27" s="93"/>
      <c r="Q27" s="93"/>
      <c r="R27" s="92" t="s">
        <v>442</v>
      </c>
      <c r="S27" s="93"/>
      <c r="T27" s="93"/>
      <c r="U27" s="93"/>
      <c r="V27" s="92" t="s">
        <v>442</v>
      </c>
      <c r="W27" s="92" t="s">
        <v>442</v>
      </c>
      <c r="X27" s="93"/>
      <c r="Y27" s="93"/>
      <c r="Z27" s="93"/>
      <c r="AA27" s="93"/>
      <c r="AB27" s="93"/>
      <c r="AC27" s="93"/>
      <c r="AD27" s="92" t="s">
        <v>442</v>
      </c>
      <c r="AE27" s="92" t="s">
        <v>442</v>
      </c>
      <c r="AF27" s="93"/>
      <c r="AG27" s="17">
        <f t="shared" si="0"/>
        <v>68.599999999999994</v>
      </c>
      <c r="AH27" s="24"/>
    </row>
    <row r="28" spans="1:34">
      <c r="A28" s="18">
        <v>27</v>
      </c>
      <c r="B28" s="3"/>
      <c r="C28" s="3" t="s">
        <v>425</v>
      </c>
      <c r="D28" s="4">
        <v>60</v>
      </c>
      <c r="E28" s="4">
        <v>50</v>
      </c>
      <c r="F28" s="4">
        <v>80</v>
      </c>
      <c r="G28" s="4">
        <v>90</v>
      </c>
      <c r="H28" s="4">
        <v>70</v>
      </c>
      <c r="I28" s="92" t="s">
        <v>442</v>
      </c>
      <c r="J28" s="92" t="s">
        <v>442</v>
      </c>
      <c r="K28" s="92" t="s">
        <v>442</v>
      </c>
      <c r="L28" s="92"/>
      <c r="M28" s="92" t="s">
        <v>442</v>
      </c>
      <c r="N28" s="92" t="s">
        <v>442</v>
      </c>
      <c r="O28" s="92" t="s">
        <v>442</v>
      </c>
      <c r="P28" s="92"/>
      <c r="Q28" s="92" t="s">
        <v>442</v>
      </c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 t="s">
        <v>442</v>
      </c>
      <c r="AF28" s="92" t="s">
        <v>442</v>
      </c>
      <c r="AG28" s="17">
        <f t="shared" si="0"/>
        <v>70</v>
      </c>
      <c r="AH28" s="24" t="s">
        <v>677</v>
      </c>
    </row>
    <row r="29" spans="1:34">
      <c r="A29" s="18">
        <v>28</v>
      </c>
      <c r="B29" s="23" t="s">
        <v>557</v>
      </c>
      <c r="C29" s="3" t="s">
        <v>458</v>
      </c>
      <c r="D29" s="4">
        <v>90</v>
      </c>
      <c r="E29" s="4">
        <v>85</v>
      </c>
      <c r="F29" s="4">
        <v>77</v>
      </c>
      <c r="G29" s="4">
        <v>58</v>
      </c>
      <c r="H29" s="4">
        <v>56</v>
      </c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2" t="s">
        <v>442</v>
      </c>
      <c r="T29" s="92" t="s">
        <v>442</v>
      </c>
      <c r="U29" s="92" t="s">
        <v>442</v>
      </c>
      <c r="V29" s="92" t="s">
        <v>442</v>
      </c>
      <c r="W29" s="93"/>
      <c r="X29" s="92" t="s">
        <v>442</v>
      </c>
      <c r="Y29" s="93"/>
      <c r="Z29" s="93"/>
      <c r="AA29" s="93"/>
      <c r="AB29" s="92" t="s">
        <v>442</v>
      </c>
      <c r="AC29" s="93"/>
      <c r="AD29" s="93"/>
      <c r="AE29" s="92" t="s">
        <v>442</v>
      </c>
      <c r="AF29" s="93"/>
      <c r="AG29" s="17">
        <f t="shared" si="0"/>
        <v>73.2</v>
      </c>
      <c r="AH29" s="24"/>
    </row>
    <row r="30" spans="1:34">
      <c r="A30" s="18">
        <v>29</v>
      </c>
      <c r="B30" s="23" t="s">
        <v>559</v>
      </c>
      <c r="C30" s="3" t="s">
        <v>534</v>
      </c>
      <c r="D30" s="4">
        <v>88</v>
      </c>
      <c r="E30" s="4">
        <v>83</v>
      </c>
      <c r="F30" s="4">
        <v>52</v>
      </c>
      <c r="G30" s="4">
        <v>55</v>
      </c>
      <c r="H30" s="4">
        <v>78</v>
      </c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2" t="s">
        <v>442</v>
      </c>
      <c r="T30" s="92" t="s">
        <v>442</v>
      </c>
      <c r="U30" s="92" t="s">
        <v>442</v>
      </c>
      <c r="V30" s="92" t="s">
        <v>442</v>
      </c>
      <c r="W30" s="92" t="s">
        <v>442</v>
      </c>
      <c r="X30" s="92" t="s">
        <v>442</v>
      </c>
      <c r="Y30" s="93"/>
      <c r="Z30" s="93"/>
      <c r="AA30" s="92" t="s">
        <v>442</v>
      </c>
      <c r="AB30" s="92" t="s">
        <v>442</v>
      </c>
      <c r="AC30" s="93"/>
      <c r="AD30" s="93"/>
      <c r="AE30" s="92" t="s">
        <v>442</v>
      </c>
      <c r="AF30" s="92" t="s">
        <v>442</v>
      </c>
      <c r="AG30" s="17">
        <f t="shared" si="0"/>
        <v>71.2</v>
      </c>
      <c r="AH30" s="24"/>
    </row>
    <row r="31" spans="1:34">
      <c r="A31" s="18">
        <v>30</v>
      </c>
      <c r="B31" s="23" t="s">
        <v>548</v>
      </c>
      <c r="C31" s="3" t="s">
        <v>451</v>
      </c>
      <c r="D31" s="4">
        <v>91</v>
      </c>
      <c r="E31" s="4">
        <v>95</v>
      </c>
      <c r="F31" s="4">
        <v>39</v>
      </c>
      <c r="G31" s="4">
        <v>42</v>
      </c>
      <c r="H31" s="4">
        <v>68</v>
      </c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2" t="s">
        <v>442</v>
      </c>
      <c r="T31" s="93"/>
      <c r="U31" s="93"/>
      <c r="V31" s="92" t="s">
        <v>442</v>
      </c>
      <c r="W31" s="93"/>
      <c r="X31" s="93"/>
      <c r="Y31" s="93"/>
      <c r="Z31" s="93"/>
      <c r="AA31" s="92" t="s">
        <v>442</v>
      </c>
      <c r="AB31" s="93"/>
      <c r="AC31" s="93"/>
      <c r="AD31" s="93"/>
      <c r="AE31" s="93"/>
      <c r="AF31" s="93"/>
      <c r="AG31" s="17">
        <f t="shared" si="0"/>
        <v>67</v>
      </c>
      <c r="AH31" s="24"/>
    </row>
    <row r="32" spans="1:34">
      <c r="A32" s="18">
        <v>31</v>
      </c>
      <c r="B32" s="23" t="s">
        <v>554</v>
      </c>
      <c r="C32" s="3" t="s">
        <v>452</v>
      </c>
      <c r="D32" s="4">
        <v>88</v>
      </c>
      <c r="E32" s="4">
        <v>88</v>
      </c>
      <c r="F32" s="4">
        <v>55</v>
      </c>
      <c r="G32" s="4">
        <v>51</v>
      </c>
      <c r="H32" s="4">
        <v>72</v>
      </c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2" t="s">
        <v>442</v>
      </c>
      <c r="T32" s="92" t="s">
        <v>442</v>
      </c>
      <c r="U32" s="92" t="s">
        <v>442</v>
      </c>
      <c r="V32" s="92" t="s">
        <v>442</v>
      </c>
      <c r="W32" s="92" t="s">
        <v>442</v>
      </c>
      <c r="X32" s="92" t="s">
        <v>442</v>
      </c>
      <c r="Y32" s="93"/>
      <c r="Z32" s="93"/>
      <c r="AA32" s="92" t="s">
        <v>442</v>
      </c>
      <c r="AB32" s="93"/>
      <c r="AC32" s="93"/>
      <c r="AD32" s="93"/>
      <c r="AE32" s="92" t="s">
        <v>442</v>
      </c>
      <c r="AF32" s="93"/>
      <c r="AG32" s="17">
        <f t="shared" si="0"/>
        <v>70.8</v>
      </c>
      <c r="AH32" s="24"/>
    </row>
    <row r="33" spans="1:34">
      <c r="A33" s="18">
        <v>32</v>
      </c>
      <c r="B33" s="23" t="s">
        <v>560</v>
      </c>
      <c r="C33" s="3" t="s">
        <v>526</v>
      </c>
      <c r="D33" s="4">
        <v>91</v>
      </c>
      <c r="E33" s="4">
        <v>93</v>
      </c>
      <c r="F33" s="4">
        <v>48</v>
      </c>
      <c r="G33" s="4">
        <v>49</v>
      </c>
      <c r="H33" s="4">
        <v>41</v>
      </c>
      <c r="I33" s="93"/>
      <c r="J33" s="93"/>
      <c r="K33" s="92" t="s">
        <v>442</v>
      </c>
      <c r="L33" s="93"/>
      <c r="M33" s="93"/>
      <c r="N33" s="93"/>
      <c r="O33" s="93"/>
      <c r="P33" s="93"/>
      <c r="Q33" s="93"/>
      <c r="R33" s="93"/>
      <c r="S33" s="92" t="s">
        <v>442</v>
      </c>
      <c r="T33" s="92" t="s">
        <v>442</v>
      </c>
      <c r="U33" s="93"/>
      <c r="V33" s="92" t="s">
        <v>442</v>
      </c>
      <c r="W33" s="93"/>
      <c r="X33" s="93"/>
      <c r="Y33" s="93"/>
      <c r="Z33" s="93"/>
      <c r="AA33" s="92" t="s">
        <v>442</v>
      </c>
      <c r="AB33" s="93"/>
      <c r="AC33" s="93"/>
      <c r="AD33" s="93"/>
      <c r="AE33" s="92" t="s">
        <v>442</v>
      </c>
      <c r="AF33" s="93"/>
      <c r="AG33" s="17">
        <f t="shared" si="0"/>
        <v>64.400000000000006</v>
      </c>
      <c r="AH33" s="24"/>
    </row>
    <row r="34" spans="1:34">
      <c r="A34" s="18">
        <v>33</v>
      </c>
      <c r="B34" s="23" t="s">
        <v>576</v>
      </c>
      <c r="C34" s="3" t="s">
        <v>453</v>
      </c>
      <c r="D34" s="4">
        <v>88</v>
      </c>
      <c r="E34" s="4">
        <v>71</v>
      </c>
      <c r="F34" s="4">
        <v>51</v>
      </c>
      <c r="G34" s="4">
        <v>44</v>
      </c>
      <c r="H34" s="4">
        <v>49</v>
      </c>
      <c r="I34" s="93"/>
      <c r="J34" s="93"/>
      <c r="K34" s="93"/>
      <c r="L34" s="92" t="s">
        <v>442</v>
      </c>
      <c r="M34" s="93"/>
      <c r="N34" s="93"/>
      <c r="O34" s="92" t="s">
        <v>442</v>
      </c>
      <c r="P34" s="92" t="s">
        <v>442</v>
      </c>
      <c r="Q34" s="92" t="s">
        <v>442</v>
      </c>
      <c r="R34" s="93"/>
      <c r="S34" s="93"/>
      <c r="T34" s="93"/>
      <c r="U34" s="92" t="s">
        <v>442</v>
      </c>
      <c r="V34" s="92" t="s">
        <v>442</v>
      </c>
      <c r="W34" s="93"/>
      <c r="X34" s="92" t="s">
        <v>442</v>
      </c>
      <c r="Y34" s="93"/>
      <c r="Z34" s="93"/>
      <c r="AA34" s="93"/>
      <c r="AB34" s="92" t="s">
        <v>442</v>
      </c>
      <c r="AC34" s="93"/>
      <c r="AD34" s="92" t="s">
        <v>442</v>
      </c>
      <c r="AE34" s="92" t="s">
        <v>442</v>
      </c>
      <c r="AF34" s="92" t="s">
        <v>442</v>
      </c>
      <c r="AG34" s="17">
        <f t="shared" ref="AG34:AG65" si="1">SUM(D34:H34)/5</f>
        <v>60.6</v>
      </c>
      <c r="AH34" s="24"/>
    </row>
    <row r="35" spans="1:34">
      <c r="A35" s="18">
        <v>34</v>
      </c>
      <c r="B35" s="3" t="s">
        <v>589</v>
      </c>
      <c r="C35" s="3" t="s">
        <v>417</v>
      </c>
      <c r="D35" s="4">
        <v>50</v>
      </c>
      <c r="E35" s="4">
        <v>36</v>
      </c>
      <c r="F35" s="4">
        <v>75</v>
      </c>
      <c r="G35" s="4">
        <v>89</v>
      </c>
      <c r="H35" s="4">
        <v>68</v>
      </c>
      <c r="I35" s="92" t="s">
        <v>442</v>
      </c>
      <c r="J35" s="92" t="s">
        <v>442</v>
      </c>
      <c r="K35" s="92"/>
      <c r="L35" s="92"/>
      <c r="M35" s="92"/>
      <c r="N35" s="92" t="s">
        <v>442</v>
      </c>
      <c r="O35" s="92"/>
      <c r="P35" s="92" t="s">
        <v>442</v>
      </c>
      <c r="Q35" s="92" t="s">
        <v>442</v>
      </c>
      <c r="R35" s="92"/>
      <c r="S35" s="92"/>
      <c r="T35" s="92"/>
      <c r="U35" s="92" t="s">
        <v>442</v>
      </c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17">
        <f t="shared" si="1"/>
        <v>63.6</v>
      </c>
      <c r="AH35" s="24"/>
    </row>
    <row r="36" spans="1:34">
      <c r="A36" s="18">
        <v>35</v>
      </c>
      <c r="B36" s="23" t="s">
        <v>579</v>
      </c>
      <c r="C36" s="3" t="s">
        <v>454</v>
      </c>
      <c r="D36" s="4">
        <v>89</v>
      </c>
      <c r="E36" s="4">
        <v>81</v>
      </c>
      <c r="F36" s="4">
        <v>41</v>
      </c>
      <c r="G36" s="4">
        <v>51</v>
      </c>
      <c r="H36" s="4">
        <v>41</v>
      </c>
      <c r="I36" s="93"/>
      <c r="J36" s="93"/>
      <c r="K36" s="93"/>
      <c r="L36" s="93"/>
      <c r="M36" s="93"/>
      <c r="N36" s="93"/>
      <c r="O36" s="93"/>
      <c r="P36" s="93"/>
      <c r="Q36" s="93"/>
      <c r="R36" s="92" t="s">
        <v>442</v>
      </c>
      <c r="S36" s="93"/>
      <c r="T36" s="93"/>
      <c r="U36" s="92" t="s">
        <v>442</v>
      </c>
      <c r="V36" s="92" t="s">
        <v>442</v>
      </c>
      <c r="W36" s="92" t="s">
        <v>442</v>
      </c>
      <c r="X36" s="93"/>
      <c r="Y36" s="93"/>
      <c r="Z36" s="93"/>
      <c r="AA36" s="92" t="s">
        <v>442</v>
      </c>
      <c r="AB36" s="93"/>
      <c r="AC36" s="93"/>
      <c r="AD36" s="93"/>
      <c r="AE36" s="92" t="s">
        <v>442</v>
      </c>
      <c r="AF36" s="92" t="s">
        <v>442</v>
      </c>
      <c r="AG36" s="17">
        <f t="shared" si="1"/>
        <v>60.6</v>
      </c>
      <c r="AH36" s="24"/>
    </row>
    <row r="37" spans="1:34">
      <c r="A37" s="18">
        <v>36</v>
      </c>
      <c r="B37" s="23" t="s">
        <v>582</v>
      </c>
      <c r="C37" s="3" t="s">
        <v>464</v>
      </c>
      <c r="D37" s="4">
        <v>84</v>
      </c>
      <c r="E37" s="4">
        <v>87</v>
      </c>
      <c r="F37" s="4">
        <v>52</v>
      </c>
      <c r="G37" s="4">
        <v>54</v>
      </c>
      <c r="H37" s="4">
        <v>68</v>
      </c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2" t="s">
        <v>442</v>
      </c>
      <c r="T37" s="93"/>
      <c r="U37" s="93"/>
      <c r="V37" s="92" t="s">
        <v>442</v>
      </c>
      <c r="W37" s="93"/>
      <c r="X37" s="93"/>
      <c r="Y37" s="93"/>
      <c r="Z37" s="93"/>
      <c r="AA37" s="92" t="s">
        <v>442</v>
      </c>
      <c r="AB37" s="93"/>
      <c r="AC37" s="93"/>
      <c r="AD37" s="93"/>
      <c r="AE37" s="92" t="s">
        <v>442</v>
      </c>
      <c r="AF37" s="93"/>
      <c r="AG37" s="17">
        <f t="shared" si="1"/>
        <v>69</v>
      </c>
      <c r="AH37" s="24"/>
    </row>
    <row r="38" spans="1:34">
      <c r="A38" s="18">
        <v>37</v>
      </c>
      <c r="B38" s="23" t="s">
        <v>601</v>
      </c>
      <c r="C38" s="3" t="s">
        <v>460</v>
      </c>
      <c r="D38" s="4">
        <v>83</v>
      </c>
      <c r="E38" s="4">
        <v>81</v>
      </c>
      <c r="F38" s="4">
        <v>62</v>
      </c>
      <c r="G38" s="4">
        <v>53</v>
      </c>
      <c r="H38" s="4">
        <v>78</v>
      </c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2" t="s">
        <v>442</v>
      </c>
      <c r="T38" s="92" t="s">
        <v>442</v>
      </c>
      <c r="U38" s="93"/>
      <c r="V38" s="92" t="s">
        <v>442</v>
      </c>
      <c r="W38" s="93"/>
      <c r="X38" s="92" t="s">
        <v>442</v>
      </c>
      <c r="Y38" s="93"/>
      <c r="Z38" s="93"/>
      <c r="AA38" s="92" t="s">
        <v>442</v>
      </c>
      <c r="AB38" s="93"/>
      <c r="AC38" s="93"/>
      <c r="AD38" s="93"/>
      <c r="AE38" s="93"/>
      <c r="AF38" s="92" t="s">
        <v>442</v>
      </c>
      <c r="AG38" s="17">
        <f t="shared" si="1"/>
        <v>71.400000000000006</v>
      </c>
      <c r="AH38" s="24"/>
    </row>
    <row r="39" spans="1:34">
      <c r="A39" s="18">
        <v>38</v>
      </c>
      <c r="B39" s="23" t="s">
        <v>563</v>
      </c>
      <c r="C39" s="3" t="s">
        <v>461</v>
      </c>
      <c r="D39" s="4">
        <v>91</v>
      </c>
      <c r="E39" s="4">
        <v>100</v>
      </c>
      <c r="F39" s="4">
        <v>9</v>
      </c>
      <c r="G39" s="4">
        <v>7</v>
      </c>
      <c r="H39" s="4">
        <v>17</v>
      </c>
      <c r="I39" s="93"/>
      <c r="J39" s="93"/>
      <c r="K39" s="93"/>
      <c r="L39" s="93"/>
      <c r="M39" s="93"/>
      <c r="N39" s="93"/>
      <c r="O39" s="93"/>
      <c r="P39" s="93"/>
      <c r="Q39" s="93"/>
      <c r="R39" s="92" t="s">
        <v>442</v>
      </c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2" t="s">
        <v>442</v>
      </c>
      <c r="AF39" s="93"/>
      <c r="AG39" s="17">
        <f t="shared" si="1"/>
        <v>44.8</v>
      </c>
      <c r="AH39" s="24"/>
    </row>
    <row r="40" spans="1:34">
      <c r="A40" s="18">
        <v>39</v>
      </c>
      <c r="B40" s="23" t="s">
        <v>583</v>
      </c>
      <c r="C40" s="3" t="s">
        <v>462</v>
      </c>
      <c r="D40" s="4">
        <v>86</v>
      </c>
      <c r="E40" s="4">
        <v>78</v>
      </c>
      <c r="F40" s="4">
        <v>52</v>
      </c>
      <c r="G40" s="4">
        <v>55</v>
      </c>
      <c r="H40" s="4">
        <v>22</v>
      </c>
      <c r="I40" s="93"/>
      <c r="J40" s="93"/>
      <c r="K40" s="93"/>
      <c r="L40" s="93"/>
      <c r="M40" s="93"/>
      <c r="N40" s="93"/>
      <c r="O40" s="92" t="s">
        <v>442</v>
      </c>
      <c r="P40" s="93"/>
      <c r="Q40" s="93"/>
      <c r="R40" s="93"/>
      <c r="S40" s="92" t="s">
        <v>442</v>
      </c>
      <c r="T40" s="93"/>
      <c r="U40" s="92" t="s">
        <v>442</v>
      </c>
      <c r="V40" s="92" t="s">
        <v>442</v>
      </c>
      <c r="W40" s="93"/>
      <c r="X40" s="92" t="s">
        <v>442</v>
      </c>
      <c r="Y40" s="93"/>
      <c r="Z40" s="93"/>
      <c r="AA40" s="92" t="s">
        <v>442</v>
      </c>
      <c r="AB40" s="93"/>
      <c r="AC40" s="93"/>
      <c r="AD40" s="92" t="s">
        <v>442</v>
      </c>
      <c r="AE40" s="92" t="s">
        <v>442</v>
      </c>
      <c r="AF40" s="92" t="s">
        <v>442</v>
      </c>
      <c r="AG40" s="17">
        <f t="shared" si="1"/>
        <v>58.6</v>
      </c>
      <c r="AH40" s="24"/>
    </row>
    <row r="41" spans="1:34">
      <c r="A41" s="18">
        <v>40</v>
      </c>
      <c r="B41" s="23" t="s">
        <v>586</v>
      </c>
      <c r="C41" s="3" t="s">
        <v>527</v>
      </c>
      <c r="D41" s="4">
        <v>85</v>
      </c>
      <c r="E41" s="4">
        <v>75</v>
      </c>
      <c r="F41" s="4">
        <v>52</v>
      </c>
      <c r="G41" s="4">
        <v>60</v>
      </c>
      <c r="H41" s="4">
        <v>54</v>
      </c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2" t="s">
        <v>442</v>
      </c>
      <c r="T41" s="93"/>
      <c r="U41" s="92" t="s">
        <v>442</v>
      </c>
      <c r="V41" s="93"/>
      <c r="W41" s="93"/>
      <c r="X41" s="92" t="s">
        <v>442</v>
      </c>
      <c r="Y41" s="93"/>
      <c r="Z41" s="93"/>
      <c r="AA41" s="93"/>
      <c r="AB41" s="92" t="s">
        <v>442</v>
      </c>
      <c r="AC41" s="93"/>
      <c r="AD41" s="92" t="s">
        <v>442</v>
      </c>
      <c r="AE41" s="92" t="s">
        <v>442</v>
      </c>
      <c r="AF41" s="93"/>
      <c r="AG41" s="17">
        <f t="shared" si="1"/>
        <v>65.2</v>
      </c>
      <c r="AH41" s="24"/>
    </row>
    <row r="42" spans="1:34">
      <c r="A42" s="18">
        <v>41</v>
      </c>
      <c r="B42" s="23" t="s">
        <v>594</v>
      </c>
      <c r="C42" s="3" t="s">
        <v>463</v>
      </c>
      <c r="D42" s="4">
        <v>87</v>
      </c>
      <c r="E42" s="4">
        <v>31</v>
      </c>
      <c r="F42" s="4">
        <v>54</v>
      </c>
      <c r="G42" s="4">
        <v>63</v>
      </c>
      <c r="H42" s="4">
        <v>52</v>
      </c>
      <c r="I42" s="93"/>
      <c r="J42" s="93"/>
      <c r="K42" s="93"/>
      <c r="L42" s="92" t="s">
        <v>442</v>
      </c>
      <c r="M42" s="93"/>
      <c r="N42" s="93"/>
      <c r="O42" s="93"/>
      <c r="P42" s="92" t="s">
        <v>442</v>
      </c>
      <c r="Q42" s="93"/>
      <c r="R42" s="93"/>
      <c r="S42" s="93"/>
      <c r="T42" s="92" t="s">
        <v>442</v>
      </c>
      <c r="U42" s="93"/>
      <c r="V42" s="92" t="s">
        <v>442</v>
      </c>
      <c r="W42" s="92" t="s">
        <v>442</v>
      </c>
      <c r="X42" s="92" t="s">
        <v>442</v>
      </c>
      <c r="Y42" s="93"/>
      <c r="Z42" s="93"/>
      <c r="AA42" s="92" t="s">
        <v>442</v>
      </c>
      <c r="AB42" s="93"/>
      <c r="AC42" s="93"/>
      <c r="AD42" s="93"/>
      <c r="AE42" s="93"/>
      <c r="AF42" s="92" t="s">
        <v>442</v>
      </c>
      <c r="AG42" s="17">
        <f t="shared" si="1"/>
        <v>57.4</v>
      </c>
      <c r="AH42" s="24"/>
    </row>
    <row r="43" spans="1:34">
      <c r="A43" s="18">
        <v>42</v>
      </c>
      <c r="B43" s="23" t="s">
        <v>587</v>
      </c>
      <c r="C43" s="3" t="s">
        <v>470</v>
      </c>
      <c r="D43" s="4">
        <v>80</v>
      </c>
      <c r="E43" s="4">
        <v>78</v>
      </c>
      <c r="F43" s="4">
        <v>66</v>
      </c>
      <c r="G43" s="4">
        <v>69</v>
      </c>
      <c r="H43" s="4">
        <v>73</v>
      </c>
      <c r="I43" s="93"/>
      <c r="J43" s="93"/>
      <c r="K43" s="93"/>
      <c r="L43" s="93"/>
      <c r="M43" s="93"/>
      <c r="N43" s="93"/>
      <c r="O43" s="93"/>
      <c r="P43" s="92" t="s">
        <v>442</v>
      </c>
      <c r="Q43" s="93"/>
      <c r="R43" s="93"/>
      <c r="S43" s="92" t="s">
        <v>442</v>
      </c>
      <c r="T43" s="93"/>
      <c r="U43" s="93"/>
      <c r="V43" s="92" t="s">
        <v>442</v>
      </c>
      <c r="W43" s="93"/>
      <c r="X43" s="93"/>
      <c r="Y43" s="93"/>
      <c r="Z43" s="93"/>
      <c r="AA43" s="92" t="s">
        <v>442</v>
      </c>
      <c r="AB43" s="93"/>
      <c r="AC43" s="93"/>
      <c r="AD43" s="93"/>
      <c r="AE43" s="92" t="s">
        <v>442</v>
      </c>
      <c r="AF43" s="92" t="s">
        <v>442</v>
      </c>
      <c r="AG43" s="17">
        <f t="shared" si="1"/>
        <v>73.2</v>
      </c>
      <c r="AH43" s="24"/>
    </row>
    <row r="44" spans="1:34">
      <c r="A44" s="18">
        <v>43</v>
      </c>
      <c r="B44" s="3" t="s">
        <v>621</v>
      </c>
      <c r="C44" s="3" t="s">
        <v>620</v>
      </c>
      <c r="D44" s="4">
        <v>83</v>
      </c>
      <c r="E44" s="4">
        <v>77</v>
      </c>
      <c r="F44" s="4">
        <v>52</v>
      </c>
      <c r="G44" s="4">
        <v>53</v>
      </c>
      <c r="H44" s="4">
        <v>65</v>
      </c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 t="s">
        <v>442</v>
      </c>
      <c r="T44" s="92"/>
      <c r="U44" s="92" t="s">
        <v>442</v>
      </c>
      <c r="V44" s="92" t="s">
        <v>442</v>
      </c>
      <c r="W44" s="92"/>
      <c r="X44" s="92" t="s">
        <v>442</v>
      </c>
      <c r="Y44" s="92"/>
      <c r="Z44" s="92"/>
      <c r="AA44" s="92"/>
      <c r="AB44" s="92"/>
      <c r="AC44" s="92"/>
      <c r="AD44" s="92"/>
      <c r="AE44" s="92"/>
      <c r="AF44" s="92" t="s">
        <v>442</v>
      </c>
      <c r="AG44" s="17">
        <f t="shared" si="1"/>
        <v>66</v>
      </c>
      <c r="AH44" s="24"/>
    </row>
    <row r="45" spans="1:34">
      <c r="A45" s="18">
        <v>44</v>
      </c>
      <c r="B45" s="23" t="s">
        <v>571</v>
      </c>
      <c r="C45" s="3" t="s">
        <v>471</v>
      </c>
      <c r="D45" s="4">
        <v>84</v>
      </c>
      <c r="E45" s="4">
        <v>81</v>
      </c>
      <c r="F45" s="4">
        <v>52</v>
      </c>
      <c r="G45" s="4">
        <v>43</v>
      </c>
      <c r="H45" s="4">
        <v>36</v>
      </c>
      <c r="I45" s="93"/>
      <c r="J45" s="93"/>
      <c r="K45" s="93"/>
      <c r="L45" s="93"/>
      <c r="M45" s="93"/>
      <c r="N45" s="93"/>
      <c r="O45" s="92" t="s">
        <v>442</v>
      </c>
      <c r="P45" s="93"/>
      <c r="Q45" s="93"/>
      <c r="R45" s="92" t="s">
        <v>442</v>
      </c>
      <c r="S45" s="93"/>
      <c r="T45" s="93"/>
      <c r="U45" s="93"/>
      <c r="V45" s="92" t="s">
        <v>442</v>
      </c>
      <c r="W45" s="92" t="s">
        <v>442</v>
      </c>
      <c r="X45" s="93"/>
      <c r="Y45" s="93"/>
      <c r="Z45" s="93"/>
      <c r="AA45" s="92" t="s">
        <v>442</v>
      </c>
      <c r="AB45" s="93"/>
      <c r="AC45" s="93"/>
      <c r="AD45" s="93"/>
      <c r="AE45" s="92" t="s">
        <v>442</v>
      </c>
      <c r="AF45" s="92" t="s">
        <v>442</v>
      </c>
      <c r="AG45" s="17">
        <f t="shared" si="1"/>
        <v>59.2</v>
      </c>
      <c r="AH45" s="24"/>
    </row>
    <row r="46" spans="1:34">
      <c r="A46" s="18">
        <v>45</v>
      </c>
      <c r="B46" s="23" t="s">
        <v>607</v>
      </c>
      <c r="C46" s="3" t="s">
        <v>472</v>
      </c>
      <c r="D46" s="4">
        <v>83</v>
      </c>
      <c r="E46" s="4">
        <v>74</v>
      </c>
      <c r="F46" s="4">
        <v>51</v>
      </c>
      <c r="G46" s="4">
        <v>39</v>
      </c>
      <c r="H46" s="4">
        <v>49</v>
      </c>
      <c r="I46" s="93"/>
      <c r="J46" s="93"/>
      <c r="K46" s="93"/>
      <c r="L46" s="93"/>
      <c r="M46" s="93"/>
      <c r="N46" s="93"/>
      <c r="O46" s="93"/>
      <c r="P46" s="93"/>
      <c r="Q46" s="93"/>
      <c r="R46" s="92" t="s">
        <v>442</v>
      </c>
      <c r="S46" s="93"/>
      <c r="T46" s="92" t="s">
        <v>442</v>
      </c>
      <c r="U46" s="93"/>
      <c r="V46" s="92" t="s">
        <v>442</v>
      </c>
      <c r="W46" s="92" t="s">
        <v>442</v>
      </c>
      <c r="X46" s="92" t="s">
        <v>442</v>
      </c>
      <c r="Y46" s="93"/>
      <c r="Z46" s="93"/>
      <c r="AA46" s="92" t="s">
        <v>442</v>
      </c>
      <c r="AB46" s="93"/>
      <c r="AC46" s="93"/>
      <c r="AD46" s="93"/>
      <c r="AE46" s="92" t="s">
        <v>442</v>
      </c>
      <c r="AF46" s="92" t="s">
        <v>442</v>
      </c>
      <c r="AG46" s="17">
        <f t="shared" si="1"/>
        <v>59.2</v>
      </c>
      <c r="AH46" s="24"/>
    </row>
    <row r="47" spans="1:34">
      <c r="A47" s="18">
        <v>46</v>
      </c>
      <c r="B47" s="23" t="s">
        <v>585</v>
      </c>
      <c r="C47" s="3" t="s">
        <v>473</v>
      </c>
      <c r="D47" s="4">
        <v>82</v>
      </c>
      <c r="E47" s="4">
        <v>79</v>
      </c>
      <c r="F47" s="4">
        <v>61</v>
      </c>
      <c r="G47" s="4">
        <v>62</v>
      </c>
      <c r="H47" s="4">
        <v>42</v>
      </c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17">
        <f t="shared" si="1"/>
        <v>65.2</v>
      </c>
      <c r="AH47" s="24"/>
    </row>
    <row r="48" spans="1:34">
      <c r="A48" s="18">
        <v>47</v>
      </c>
      <c r="B48" s="23"/>
      <c r="C48" s="3" t="s">
        <v>474</v>
      </c>
      <c r="D48" s="4">
        <v>5</v>
      </c>
      <c r="E48" s="4">
        <v>2</v>
      </c>
      <c r="F48" s="4">
        <v>23</v>
      </c>
      <c r="G48" s="4">
        <v>35</v>
      </c>
      <c r="H48" s="4">
        <v>100</v>
      </c>
      <c r="I48" s="92" t="s">
        <v>442</v>
      </c>
      <c r="J48" s="92" t="s">
        <v>442</v>
      </c>
      <c r="K48" s="92" t="s">
        <v>442</v>
      </c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17">
        <f t="shared" si="1"/>
        <v>33</v>
      </c>
      <c r="AH48" s="24" t="s">
        <v>682</v>
      </c>
    </row>
    <row r="49" spans="1:34">
      <c r="A49" s="18">
        <v>48</v>
      </c>
      <c r="B49" s="23" t="s">
        <v>570</v>
      </c>
      <c r="C49" s="3" t="s">
        <v>467</v>
      </c>
      <c r="D49" s="4">
        <v>85</v>
      </c>
      <c r="E49" s="4">
        <v>69</v>
      </c>
      <c r="F49" s="4">
        <v>33</v>
      </c>
      <c r="G49" s="4">
        <v>29</v>
      </c>
      <c r="H49" s="4">
        <v>54</v>
      </c>
      <c r="I49" s="93"/>
      <c r="J49" s="93"/>
      <c r="K49" s="93"/>
      <c r="L49" s="93"/>
      <c r="M49" s="93"/>
      <c r="N49" s="93"/>
      <c r="O49" s="93"/>
      <c r="P49" s="92" t="s">
        <v>442</v>
      </c>
      <c r="Q49" s="93"/>
      <c r="R49" s="92" t="s">
        <v>442</v>
      </c>
      <c r="S49" s="93"/>
      <c r="T49" s="93"/>
      <c r="U49" s="93"/>
      <c r="V49" s="92" t="s">
        <v>442</v>
      </c>
      <c r="W49" s="92" t="s">
        <v>442</v>
      </c>
      <c r="X49" s="93"/>
      <c r="Y49" s="93"/>
      <c r="Z49" s="93"/>
      <c r="AA49" s="92" t="s">
        <v>442</v>
      </c>
      <c r="AB49" s="93"/>
      <c r="AC49" s="93"/>
      <c r="AD49" s="92" t="s">
        <v>442</v>
      </c>
      <c r="AE49" s="92" t="s">
        <v>442</v>
      </c>
      <c r="AF49" s="93"/>
      <c r="AG49" s="17">
        <f t="shared" si="1"/>
        <v>54</v>
      </c>
      <c r="AH49" s="24"/>
    </row>
    <row r="50" spans="1:34">
      <c r="A50" s="18">
        <v>49</v>
      </c>
      <c r="B50" s="23" t="s">
        <v>603</v>
      </c>
      <c r="C50" s="3" t="s">
        <v>528</v>
      </c>
      <c r="D50" s="4">
        <v>82</v>
      </c>
      <c r="E50" s="4">
        <v>78</v>
      </c>
      <c r="F50" s="4">
        <v>42</v>
      </c>
      <c r="G50" s="4">
        <v>29</v>
      </c>
      <c r="H50" s="4">
        <v>51</v>
      </c>
      <c r="I50" s="93"/>
      <c r="J50" s="93"/>
      <c r="K50" s="93"/>
      <c r="L50" s="93"/>
      <c r="M50" s="93"/>
      <c r="N50" s="93"/>
      <c r="O50" s="93"/>
      <c r="P50" s="92" t="s">
        <v>442</v>
      </c>
      <c r="Q50" s="93"/>
      <c r="R50" s="92" t="s">
        <v>442</v>
      </c>
      <c r="S50" s="93"/>
      <c r="T50" s="92" t="s">
        <v>442</v>
      </c>
      <c r="U50" s="92" t="s">
        <v>442</v>
      </c>
      <c r="V50" s="92" t="s">
        <v>442</v>
      </c>
      <c r="W50" s="92" t="s">
        <v>442</v>
      </c>
      <c r="X50" s="92" t="s">
        <v>442</v>
      </c>
      <c r="Y50" s="93"/>
      <c r="Z50" s="93"/>
      <c r="AA50" s="93"/>
      <c r="AB50" s="93"/>
      <c r="AC50" s="93"/>
      <c r="AD50" s="92" t="s">
        <v>442</v>
      </c>
      <c r="AE50" s="92" t="s">
        <v>442</v>
      </c>
      <c r="AF50" s="93"/>
      <c r="AG50" s="17">
        <f t="shared" si="1"/>
        <v>56.4</v>
      </c>
      <c r="AH50" s="24"/>
    </row>
    <row r="51" spans="1:34">
      <c r="A51" s="18">
        <v>50</v>
      </c>
      <c r="B51" s="23" t="s">
        <v>609</v>
      </c>
      <c r="C51" s="3" t="s">
        <v>529</v>
      </c>
      <c r="D51" s="4">
        <v>73</v>
      </c>
      <c r="E51" s="4">
        <v>76</v>
      </c>
      <c r="F51" s="4">
        <v>68</v>
      </c>
      <c r="G51" s="4">
        <v>62</v>
      </c>
      <c r="H51" s="4">
        <v>71</v>
      </c>
      <c r="I51" s="92" t="s">
        <v>442</v>
      </c>
      <c r="J51" s="92" t="s">
        <v>442</v>
      </c>
      <c r="K51" s="93"/>
      <c r="L51" s="93"/>
      <c r="M51" s="93"/>
      <c r="N51" s="93"/>
      <c r="O51" s="93"/>
      <c r="P51" s="93"/>
      <c r="Q51" s="93"/>
      <c r="R51" s="93"/>
      <c r="S51" s="92" t="s">
        <v>442</v>
      </c>
      <c r="T51" s="93"/>
      <c r="U51" s="92" t="s">
        <v>442</v>
      </c>
      <c r="V51" s="92" t="s">
        <v>442</v>
      </c>
      <c r="W51" s="93"/>
      <c r="X51" s="93"/>
      <c r="Y51" s="93"/>
      <c r="Z51" s="93"/>
      <c r="AA51" s="92" t="s">
        <v>442</v>
      </c>
      <c r="AB51" s="93"/>
      <c r="AC51" s="93"/>
      <c r="AD51" s="92" t="s">
        <v>442</v>
      </c>
      <c r="AE51" s="93"/>
      <c r="AF51" s="92" t="s">
        <v>442</v>
      </c>
      <c r="AG51" s="17">
        <f t="shared" si="1"/>
        <v>70</v>
      </c>
      <c r="AH51" s="24"/>
    </row>
    <row r="52" spans="1:34">
      <c r="A52" s="18">
        <v>51</v>
      </c>
      <c r="B52" s="23" t="s">
        <v>616</v>
      </c>
      <c r="C52" s="3" t="s">
        <v>468</v>
      </c>
      <c r="D52" s="4">
        <v>73</v>
      </c>
      <c r="E52" s="4">
        <v>67</v>
      </c>
      <c r="F52" s="4">
        <v>63</v>
      </c>
      <c r="G52" s="4">
        <v>58</v>
      </c>
      <c r="H52" s="4">
        <v>79</v>
      </c>
      <c r="I52" s="93"/>
      <c r="J52" s="93"/>
      <c r="K52" s="93"/>
      <c r="L52" s="93"/>
      <c r="M52" s="93"/>
      <c r="N52" s="93"/>
      <c r="O52" s="93"/>
      <c r="P52" s="93"/>
      <c r="Q52" s="93"/>
      <c r="R52" s="92" t="s">
        <v>442</v>
      </c>
      <c r="S52" s="93"/>
      <c r="T52" s="93"/>
      <c r="U52" s="92" t="s">
        <v>442</v>
      </c>
      <c r="V52" s="92" t="s">
        <v>442</v>
      </c>
      <c r="W52" s="93"/>
      <c r="X52" s="93"/>
      <c r="Y52" s="93"/>
      <c r="Z52" s="93"/>
      <c r="AA52" s="92" t="s">
        <v>442</v>
      </c>
      <c r="AB52" s="93"/>
      <c r="AC52" s="93"/>
      <c r="AD52" s="93"/>
      <c r="AE52" s="92" t="s">
        <v>442</v>
      </c>
      <c r="AF52" s="92" t="s">
        <v>442</v>
      </c>
      <c r="AG52" s="17">
        <f t="shared" si="1"/>
        <v>68</v>
      </c>
      <c r="AH52" s="24"/>
    </row>
    <row r="53" spans="1:34">
      <c r="A53" s="18">
        <v>52</v>
      </c>
      <c r="B53" s="23" t="s">
        <v>584</v>
      </c>
      <c r="C53" s="3" t="s">
        <v>469</v>
      </c>
      <c r="D53" s="4">
        <v>81</v>
      </c>
      <c r="E53" s="4">
        <v>72</v>
      </c>
      <c r="F53" s="4">
        <v>63</v>
      </c>
      <c r="G53" s="4">
        <v>65</v>
      </c>
      <c r="H53" s="4">
        <v>42</v>
      </c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2" t="s">
        <v>442</v>
      </c>
      <c r="T53" s="93"/>
      <c r="U53" s="93"/>
      <c r="V53" s="92" t="s">
        <v>442</v>
      </c>
      <c r="W53" s="93"/>
      <c r="X53" s="93"/>
      <c r="Y53" s="93"/>
      <c r="Z53" s="93"/>
      <c r="AA53" s="92" t="s">
        <v>442</v>
      </c>
      <c r="AB53" s="93"/>
      <c r="AC53" s="93"/>
      <c r="AD53" s="93"/>
      <c r="AE53" s="92" t="s">
        <v>442</v>
      </c>
      <c r="AF53" s="92" t="s">
        <v>442</v>
      </c>
      <c r="AG53" s="17">
        <f t="shared" si="1"/>
        <v>64.599999999999994</v>
      </c>
      <c r="AH53" s="24"/>
    </row>
    <row r="54" spans="1:34">
      <c r="A54" s="18">
        <v>53</v>
      </c>
      <c r="B54" s="3" t="s">
        <v>562</v>
      </c>
      <c r="C54" s="3" t="s">
        <v>427</v>
      </c>
      <c r="D54" s="4">
        <v>85</v>
      </c>
      <c r="E54" s="4">
        <v>79</v>
      </c>
      <c r="F54" s="4">
        <v>28</v>
      </c>
      <c r="G54" s="4">
        <v>25</v>
      </c>
      <c r="H54" s="4">
        <v>32</v>
      </c>
      <c r="I54" s="92"/>
      <c r="J54" s="92"/>
      <c r="K54" s="92"/>
      <c r="L54" s="92"/>
      <c r="M54" s="92"/>
      <c r="N54" s="92"/>
      <c r="O54" s="92"/>
      <c r="P54" s="92"/>
      <c r="Q54" s="92"/>
      <c r="R54" s="92" t="s">
        <v>442</v>
      </c>
      <c r="S54" s="92"/>
      <c r="T54" s="92"/>
      <c r="U54" s="92" t="s">
        <v>442</v>
      </c>
      <c r="V54" s="92" t="s">
        <v>442</v>
      </c>
      <c r="W54" s="92" t="s">
        <v>442</v>
      </c>
      <c r="X54" s="92" t="s">
        <v>442</v>
      </c>
      <c r="Y54" s="92"/>
      <c r="Z54" s="92"/>
      <c r="AA54" s="92" t="s">
        <v>442</v>
      </c>
      <c r="AB54" s="92" t="s">
        <v>442</v>
      </c>
      <c r="AC54" s="92"/>
      <c r="AD54" s="92"/>
      <c r="AE54" s="92" t="s">
        <v>442</v>
      </c>
      <c r="AF54" s="92"/>
      <c r="AG54" s="17">
        <f t="shared" si="1"/>
        <v>49.8</v>
      </c>
      <c r="AH54" s="24"/>
    </row>
    <row r="55" spans="1:34">
      <c r="A55" s="18">
        <v>54</v>
      </c>
      <c r="B55" s="23" t="s">
        <v>565</v>
      </c>
      <c r="C55" s="3" t="s">
        <v>479</v>
      </c>
      <c r="D55" s="4">
        <v>82</v>
      </c>
      <c r="E55" s="4">
        <v>71</v>
      </c>
      <c r="F55" s="4">
        <v>51</v>
      </c>
      <c r="G55" s="4">
        <v>43</v>
      </c>
      <c r="H55" s="4">
        <v>60</v>
      </c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2" t="s">
        <v>442</v>
      </c>
      <c r="T55" s="93"/>
      <c r="U55" s="92" t="s">
        <v>442</v>
      </c>
      <c r="V55" s="92" t="s">
        <v>442</v>
      </c>
      <c r="W55" s="93"/>
      <c r="X55" s="93"/>
      <c r="Y55" s="93"/>
      <c r="Z55" s="93"/>
      <c r="AA55" s="92" t="s">
        <v>442</v>
      </c>
      <c r="AB55" s="92" t="s">
        <v>442</v>
      </c>
      <c r="AC55" s="93"/>
      <c r="AD55" s="93"/>
      <c r="AE55" s="93"/>
      <c r="AF55" s="93"/>
      <c r="AG55" s="17">
        <f t="shared" si="1"/>
        <v>61.4</v>
      </c>
      <c r="AH55" s="24"/>
    </row>
    <row r="56" spans="1:34">
      <c r="A56" s="18">
        <v>55</v>
      </c>
      <c r="B56" s="3" t="s">
        <v>608</v>
      </c>
      <c r="C56" s="3" t="s">
        <v>420</v>
      </c>
      <c r="D56" s="4">
        <v>31</v>
      </c>
      <c r="E56" s="4">
        <v>32</v>
      </c>
      <c r="F56" s="4">
        <v>72</v>
      </c>
      <c r="G56" s="4">
        <v>84</v>
      </c>
      <c r="H56" s="4">
        <v>53</v>
      </c>
      <c r="I56" s="92" t="s">
        <v>442</v>
      </c>
      <c r="J56" s="92" t="s">
        <v>442</v>
      </c>
      <c r="K56" s="92"/>
      <c r="L56" s="92" t="s">
        <v>442</v>
      </c>
      <c r="M56" s="92"/>
      <c r="N56" s="92"/>
      <c r="O56" s="92" t="s">
        <v>442</v>
      </c>
      <c r="P56" s="92"/>
      <c r="Q56" s="92" t="s">
        <v>442</v>
      </c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 t="s">
        <v>442</v>
      </c>
      <c r="AG56" s="17">
        <f t="shared" si="1"/>
        <v>54.4</v>
      </c>
      <c r="AH56" s="24"/>
    </row>
    <row r="57" spans="1:34">
      <c r="A57" s="18">
        <v>56</v>
      </c>
      <c r="B57" s="23" t="s">
        <v>577</v>
      </c>
      <c r="C57" s="3" t="s">
        <v>480</v>
      </c>
      <c r="D57" s="4">
        <v>86</v>
      </c>
      <c r="E57" s="4">
        <v>67</v>
      </c>
      <c r="F57" s="4">
        <v>33</v>
      </c>
      <c r="G57" s="4">
        <v>28</v>
      </c>
      <c r="H57" s="4">
        <v>45</v>
      </c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2" t="s">
        <v>442</v>
      </c>
      <c r="V57" s="92" t="s">
        <v>442</v>
      </c>
      <c r="W57" s="93"/>
      <c r="X57" s="93"/>
      <c r="Y57" s="93"/>
      <c r="Z57" s="93"/>
      <c r="AA57" s="93"/>
      <c r="AB57" s="92" t="s">
        <v>442</v>
      </c>
      <c r="AC57" s="93"/>
      <c r="AD57" s="93"/>
      <c r="AE57" s="92" t="s">
        <v>442</v>
      </c>
      <c r="AF57" s="93"/>
      <c r="AG57" s="17">
        <f t="shared" si="1"/>
        <v>51.8</v>
      </c>
      <c r="AH57" s="24"/>
    </row>
    <row r="58" spans="1:34">
      <c r="A58" s="18">
        <v>57</v>
      </c>
      <c r="B58" s="23" t="s">
        <v>572</v>
      </c>
      <c r="C58" s="3" t="s">
        <v>481</v>
      </c>
      <c r="D58" s="4">
        <v>81</v>
      </c>
      <c r="E58" s="4">
        <v>73</v>
      </c>
      <c r="F58" s="4">
        <v>43</v>
      </c>
      <c r="G58" s="4">
        <v>35</v>
      </c>
      <c r="H58" s="4">
        <v>64</v>
      </c>
      <c r="I58" s="93"/>
      <c r="J58" s="93"/>
      <c r="K58" s="93"/>
      <c r="L58" s="93"/>
      <c r="M58" s="93"/>
      <c r="N58" s="93"/>
      <c r="O58" s="93"/>
      <c r="P58" s="93"/>
      <c r="Q58" s="93"/>
      <c r="R58" s="92" t="s">
        <v>442</v>
      </c>
      <c r="S58" s="93"/>
      <c r="T58" s="93"/>
      <c r="U58" s="92" t="s">
        <v>442</v>
      </c>
      <c r="V58" s="92" t="s">
        <v>442</v>
      </c>
      <c r="W58" s="93"/>
      <c r="X58" s="93"/>
      <c r="Y58" s="93"/>
      <c r="Z58" s="93"/>
      <c r="AA58" s="92" t="s">
        <v>442</v>
      </c>
      <c r="AB58" s="93"/>
      <c r="AC58" s="93"/>
      <c r="AD58" s="93"/>
      <c r="AE58" s="93"/>
      <c r="AF58" s="92" t="s">
        <v>442</v>
      </c>
      <c r="AG58" s="17">
        <f t="shared" si="1"/>
        <v>59.2</v>
      </c>
      <c r="AH58" s="24"/>
    </row>
    <row r="59" spans="1:34">
      <c r="A59" s="18">
        <v>58</v>
      </c>
      <c r="B59" s="23" t="s">
        <v>597</v>
      </c>
      <c r="C59" s="3" t="s">
        <v>482</v>
      </c>
      <c r="D59" s="4">
        <v>77</v>
      </c>
      <c r="E59" s="4">
        <v>71</v>
      </c>
      <c r="F59" s="4">
        <v>52</v>
      </c>
      <c r="G59" s="4">
        <v>41</v>
      </c>
      <c r="H59" s="4">
        <v>64</v>
      </c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2" t="s">
        <v>442</v>
      </c>
      <c r="T59" s="92" t="s">
        <v>442</v>
      </c>
      <c r="U59" s="92" t="s">
        <v>442</v>
      </c>
      <c r="V59" s="92" t="s">
        <v>442</v>
      </c>
      <c r="W59" s="93"/>
      <c r="X59" s="93"/>
      <c r="Y59" s="93"/>
      <c r="Z59" s="93"/>
      <c r="AA59" s="92" t="s">
        <v>442</v>
      </c>
      <c r="AB59" s="93"/>
      <c r="AC59" s="93"/>
      <c r="AD59" s="92" t="s">
        <v>442</v>
      </c>
      <c r="AE59" s="92" t="s">
        <v>442</v>
      </c>
      <c r="AF59" s="92" t="s">
        <v>442</v>
      </c>
      <c r="AG59" s="17">
        <f t="shared" si="1"/>
        <v>61</v>
      </c>
      <c r="AH59" s="24"/>
    </row>
    <row r="60" spans="1:34">
      <c r="A60" s="18">
        <v>59</v>
      </c>
      <c r="B60" s="3" t="s">
        <v>566</v>
      </c>
      <c r="C60" s="3" t="s">
        <v>430</v>
      </c>
      <c r="D60" s="4">
        <v>71</v>
      </c>
      <c r="E60" s="4">
        <v>59</v>
      </c>
      <c r="F60" s="4">
        <v>51</v>
      </c>
      <c r="G60" s="4">
        <v>42</v>
      </c>
      <c r="H60" s="4">
        <v>56</v>
      </c>
      <c r="I60" s="92"/>
      <c r="J60" s="92"/>
      <c r="K60" s="92"/>
      <c r="L60" s="92"/>
      <c r="M60" s="92"/>
      <c r="N60" s="93"/>
      <c r="O60" s="92" t="s">
        <v>442</v>
      </c>
      <c r="P60" s="92"/>
      <c r="Q60" s="92"/>
      <c r="R60" s="92" t="s">
        <v>442</v>
      </c>
      <c r="S60" s="92"/>
      <c r="T60" s="92"/>
      <c r="U60" s="92" t="s">
        <v>442</v>
      </c>
      <c r="V60" s="92" t="s">
        <v>442</v>
      </c>
      <c r="W60" s="92"/>
      <c r="X60" s="92"/>
      <c r="Y60" s="92"/>
      <c r="Z60" s="92"/>
      <c r="AA60" s="92" t="s">
        <v>442</v>
      </c>
      <c r="AB60" s="92" t="s">
        <v>442</v>
      </c>
      <c r="AC60" s="92"/>
      <c r="AD60" s="92"/>
      <c r="AE60" s="92" t="s">
        <v>442</v>
      </c>
      <c r="AF60" s="92"/>
      <c r="AG60" s="17">
        <f t="shared" si="1"/>
        <v>55.8</v>
      </c>
      <c r="AH60" s="24"/>
    </row>
    <row r="61" spans="1:34">
      <c r="A61" s="18">
        <v>60</v>
      </c>
      <c r="B61" s="23" t="s">
        <v>651</v>
      </c>
      <c r="C61" s="3" t="s">
        <v>483</v>
      </c>
      <c r="D61" s="4">
        <v>72</v>
      </c>
      <c r="E61" s="4">
        <v>76</v>
      </c>
      <c r="F61" s="4">
        <v>58</v>
      </c>
      <c r="G61" s="4">
        <v>68</v>
      </c>
      <c r="H61" s="4">
        <v>73</v>
      </c>
      <c r="I61" s="93"/>
      <c r="J61" s="93"/>
      <c r="K61" s="93"/>
      <c r="L61" s="92" t="s">
        <v>442</v>
      </c>
      <c r="M61" s="93"/>
      <c r="N61" s="93"/>
      <c r="O61" s="92" t="s">
        <v>442</v>
      </c>
      <c r="P61" s="93"/>
      <c r="Q61" s="93"/>
      <c r="R61" s="93"/>
      <c r="S61" s="93"/>
      <c r="T61" s="93"/>
      <c r="U61" s="92" t="s">
        <v>442</v>
      </c>
      <c r="V61" s="93"/>
      <c r="W61" s="93"/>
      <c r="X61" s="93"/>
      <c r="Y61" s="93"/>
      <c r="Z61" s="93"/>
      <c r="AA61" s="93"/>
      <c r="AB61" s="93"/>
      <c r="AC61" s="93"/>
      <c r="AD61" s="92" t="s">
        <v>442</v>
      </c>
      <c r="AE61" s="93"/>
      <c r="AF61" s="92" t="s">
        <v>442</v>
      </c>
      <c r="AG61" s="17">
        <f t="shared" si="1"/>
        <v>69.400000000000006</v>
      </c>
      <c r="AH61" s="24" t="s">
        <v>652</v>
      </c>
    </row>
    <row r="62" spans="1:34">
      <c r="A62" s="18">
        <v>61</v>
      </c>
      <c r="B62" s="23" t="s">
        <v>596</v>
      </c>
      <c r="C62" s="3" t="s">
        <v>484</v>
      </c>
      <c r="D62" s="4">
        <v>78</v>
      </c>
      <c r="E62" s="4">
        <v>71</v>
      </c>
      <c r="F62" s="4">
        <v>53</v>
      </c>
      <c r="G62" s="4">
        <v>40</v>
      </c>
      <c r="H62" s="4">
        <v>42</v>
      </c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2" t="s">
        <v>442</v>
      </c>
      <c r="T62" s="92" t="s">
        <v>442</v>
      </c>
      <c r="U62" s="92" t="s">
        <v>442</v>
      </c>
      <c r="V62" s="92" t="s">
        <v>442</v>
      </c>
      <c r="W62" s="93"/>
      <c r="X62" s="92" t="s">
        <v>442</v>
      </c>
      <c r="Y62" s="93"/>
      <c r="Z62" s="93"/>
      <c r="AA62" s="93"/>
      <c r="AB62" s="93"/>
      <c r="AC62" s="93"/>
      <c r="AD62" s="92" t="s">
        <v>442</v>
      </c>
      <c r="AE62" s="92" t="s">
        <v>442</v>
      </c>
      <c r="AF62" s="92" t="s">
        <v>442</v>
      </c>
      <c r="AG62" s="17">
        <f t="shared" si="1"/>
        <v>56.8</v>
      </c>
      <c r="AH62" s="24"/>
    </row>
    <row r="63" spans="1:34">
      <c r="A63" s="18">
        <v>62</v>
      </c>
      <c r="B63" s="23" t="s">
        <v>569</v>
      </c>
      <c r="C63" s="3" t="s">
        <v>485</v>
      </c>
      <c r="D63" s="4">
        <v>82</v>
      </c>
      <c r="E63" s="4">
        <v>77</v>
      </c>
      <c r="F63" s="4">
        <v>28</v>
      </c>
      <c r="G63" s="4">
        <v>24</v>
      </c>
      <c r="H63" s="4">
        <v>35</v>
      </c>
      <c r="I63" s="93"/>
      <c r="J63" s="93"/>
      <c r="K63" s="93"/>
      <c r="L63" s="93"/>
      <c r="M63" s="93"/>
      <c r="N63" s="93"/>
      <c r="O63" s="93"/>
      <c r="P63" s="92" t="s">
        <v>442</v>
      </c>
      <c r="Q63" s="93"/>
      <c r="R63" s="92" t="s">
        <v>442</v>
      </c>
      <c r="S63" s="93"/>
      <c r="T63" s="93"/>
      <c r="U63" s="93"/>
      <c r="V63" s="92" t="s">
        <v>442</v>
      </c>
      <c r="W63" s="92" t="s">
        <v>442</v>
      </c>
      <c r="X63" s="92" t="s">
        <v>442</v>
      </c>
      <c r="Y63" s="93"/>
      <c r="Z63" s="93"/>
      <c r="AA63" s="93"/>
      <c r="AB63" s="93"/>
      <c r="AC63" s="93"/>
      <c r="AD63" s="93"/>
      <c r="AE63" s="92" t="s">
        <v>442</v>
      </c>
      <c r="AF63" s="92" t="s">
        <v>442</v>
      </c>
      <c r="AG63" s="17">
        <f t="shared" si="1"/>
        <v>49.2</v>
      </c>
      <c r="AH63" s="24"/>
    </row>
    <row r="64" spans="1:34">
      <c r="A64" s="18">
        <v>63</v>
      </c>
      <c r="B64" s="3" t="s">
        <v>658</v>
      </c>
      <c r="C64" s="3" t="s">
        <v>429</v>
      </c>
      <c r="D64" s="4">
        <v>61</v>
      </c>
      <c r="E64" s="4">
        <v>74</v>
      </c>
      <c r="F64" s="4">
        <v>63</v>
      </c>
      <c r="G64" s="4">
        <v>68</v>
      </c>
      <c r="H64" s="4">
        <v>71</v>
      </c>
      <c r="I64" s="92"/>
      <c r="J64" s="92" t="s">
        <v>442</v>
      </c>
      <c r="K64" s="92" t="s">
        <v>442</v>
      </c>
      <c r="L64" s="92"/>
      <c r="M64" s="92"/>
      <c r="N64" s="92"/>
      <c r="O64" s="92" t="s">
        <v>442</v>
      </c>
      <c r="P64" s="92"/>
      <c r="Q64" s="92" t="s">
        <v>442</v>
      </c>
      <c r="R64" s="92"/>
      <c r="S64" s="92"/>
      <c r="T64" s="92"/>
      <c r="U64" s="92"/>
      <c r="V64" s="92" t="s">
        <v>442</v>
      </c>
      <c r="W64" s="92"/>
      <c r="X64" s="92"/>
      <c r="Y64" s="92"/>
      <c r="Z64" s="92"/>
      <c r="AA64" s="92"/>
      <c r="AB64" s="92"/>
      <c r="AC64" s="92"/>
      <c r="AD64" s="92"/>
      <c r="AE64" s="92"/>
      <c r="AF64" s="92" t="s">
        <v>442</v>
      </c>
      <c r="AG64" s="17">
        <f t="shared" si="1"/>
        <v>67.400000000000006</v>
      </c>
      <c r="AH64" s="24" t="s">
        <v>664</v>
      </c>
    </row>
    <row r="65" spans="1:34">
      <c r="A65" s="18">
        <v>64</v>
      </c>
      <c r="B65" s="23" t="s">
        <v>575</v>
      </c>
      <c r="C65" s="3" t="s">
        <v>530</v>
      </c>
      <c r="D65" s="4">
        <v>84</v>
      </c>
      <c r="E65" s="4">
        <v>71</v>
      </c>
      <c r="F65" s="4">
        <v>28</v>
      </c>
      <c r="G65" s="4">
        <v>16</v>
      </c>
      <c r="H65" s="4">
        <v>40</v>
      </c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2" t="s">
        <v>442</v>
      </c>
      <c r="V65" s="92" t="s">
        <v>442</v>
      </c>
      <c r="W65" s="93"/>
      <c r="X65" s="93"/>
      <c r="Y65" s="93"/>
      <c r="Z65" s="93"/>
      <c r="AA65" s="93"/>
      <c r="AB65" s="92" t="s">
        <v>442</v>
      </c>
      <c r="AC65" s="93"/>
      <c r="AD65" s="93"/>
      <c r="AE65" s="92" t="s">
        <v>442</v>
      </c>
      <c r="AF65" s="92" t="s">
        <v>442</v>
      </c>
      <c r="AG65" s="17">
        <f t="shared" si="1"/>
        <v>47.8</v>
      </c>
      <c r="AH65" s="24"/>
    </row>
    <row r="66" spans="1:34">
      <c r="A66" s="18">
        <v>65</v>
      </c>
      <c r="B66" s="23" t="s">
        <v>581</v>
      </c>
      <c r="C66" s="3" t="s">
        <v>486</v>
      </c>
      <c r="D66" s="4">
        <v>79</v>
      </c>
      <c r="E66" s="4">
        <v>71</v>
      </c>
      <c r="F66" s="4">
        <v>43</v>
      </c>
      <c r="G66" s="4">
        <v>45</v>
      </c>
      <c r="H66" s="4">
        <v>47</v>
      </c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2" t="s">
        <v>442</v>
      </c>
      <c r="T66" s="93"/>
      <c r="U66" s="92" t="s">
        <v>442</v>
      </c>
      <c r="V66" s="92" t="s">
        <v>442</v>
      </c>
      <c r="W66" s="93"/>
      <c r="X66" s="93"/>
      <c r="Y66" s="93"/>
      <c r="Z66" s="93"/>
      <c r="AA66" s="92" t="s">
        <v>442</v>
      </c>
      <c r="AB66" s="93"/>
      <c r="AC66" s="93"/>
      <c r="AD66" s="93"/>
      <c r="AE66" s="92" t="s">
        <v>442</v>
      </c>
      <c r="AF66" s="93"/>
      <c r="AG66" s="17">
        <f t="shared" ref="AG66:AG97" si="2">SUM(D66:H66)/5</f>
        <v>57</v>
      </c>
      <c r="AH66" s="24"/>
    </row>
    <row r="67" spans="1:34">
      <c r="A67" s="18">
        <v>66</v>
      </c>
      <c r="B67" s="23" t="s">
        <v>573</v>
      </c>
      <c r="C67" s="3" t="s">
        <v>531</v>
      </c>
      <c r="D67" s="4">
        <v>81</v>
      </c>
      <c r="E67" s="4">
        <v>78</v>
      </c>
      <c r="F67" s="4">
        <v>39</v>
      </c>
      <c r="G67" s="4">
        <v>29</v>
      </c>
      <c r="H67" s="4">
        <v>42</v>
      </c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2" t="s">
        <v>442</v>
      </c>
      <c r="V67" s="92" t="s">
        <v>442</v>
      </c>
      <c r="W67" s="93"/>
      <c r="X67" s="93"/>
      <c r="Y67" s="93"/>
      <c r="Z67" s="93"/>
      <c r="AA67" s="93"/>
      <c r="AB67" s="92" t="s">
        <v>442</v>
      </c>
      <c r="AC67" s="93"/>
      <c r="AD67" s="93"/>
      <c r="AE67" s="92" t="s">
        <v>442</v>
      </c>
      <c r="AF67" s="93"/>
      <c r="AG67" s="17">
        <f t="shared" si="2"/>
        <v>53.8</v>
      </c>
      <c r="AH67" s="24"/>
    </row>
    <row r="68" spans="1:34">
      <c r="A68" s="18">
        <v>67</v>
      </c>
      <c r="B68" s="23" t="s">
        <v>574</v>
      </c>
      <c r="C68" s="3" t="s">
        <v>532</v>
      </c>
      <c r="D68" s="4">
        <v>83</v>
      </c>
      <c r="E68" s="4">
        <v>72</v>
      </c>
      <c r="F68" s="4">
        <v>31</v>
      </c>
      <c r="G68" s="4">
        <v>23</v>
      </c>
      <c r="H68" s="4">
        <v>34</v>
      </c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2" t="s">
        <v>442</v>
      </c>
      <c r="V68" s="92" t="s">
        <v>442</v>
      </c>
      <c r="W68" s="93"/>
      <c r="X68" s="93"/>
      <c r="Y68" s="93"/>
      <c r="Z68" s="93"/>
      <c r="AA68" s="93"/>
      <c r="AB68" s="92" t="s">
        <v>442</v>
      </c>
      <c r="AC68" s="93"/>
      <c r="AD68" s="93"/>
      <c r="AE68" s="92" t="s">
        <v>442</v>
      </c>
      <c r="AF68" s="93"/>
      <c r="AG68" s="17">
        <f t="shared" si="2"/>
        <v>48.6</v>
      </c>
      <c r="AH68" s="24"/>
    </row>
    <row r="69" spans="1:34">
      <c r="A69" s="18">
        <v>68</v>
      </c>
      <c r="B69" s="23" t="s">
        <v>588</v>
      </c>
      <c r="C69" s="3" t="s">
        <v>475</v>
      </c>
      <c r="D69" s="4">
        <v>36</v>
      </c>
      <c r="E69" s="4">
        <v>20</v>
      </c>
      <c r="F69" s="4">
        <v>64</v>
      </c>
      <c r="G69" s="4">
        <v>83</v>
      </c>
      <c r="H69" s="4">
        <v>49</v>
      </c>
      <c r="I69" s="92" t="s">
        <v>442</v>
      </c>
      <c r="J69" s="92" t="s">
        <v>442</v>
      </c>
      <c r="K69" s="93"/>
      <c r="L69" s="93"/>
      <c r="M69" s="93"/>
      <c r="N69" s="93"/>
      <c r="O69" s="93"/>
      <c r="P69" s="93"/>
      <c r="Q69" s="92" t="s">
        <v>442</v>
      </c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17">
        <f t="shared" si="2"/>
        <v>50.4</v>
      </c>
      <c r="AH69" s="24"/>
    </row>
    <row r="70" spans="1:34">
      <c r="A70" s="18">
        <v>69</v>
      </c>
      <c r="B70" s="23" t="s">
        <v>614</v>
      </c>
      <c r="C70" s="3" t="s">
        <v>476</v>
      </c>
      <c r="D70" s="4">
        <v>78</v>
      </c>
      <c r="E70" s="4">
        <v>79</v>
      </c>
      <c r="F70" s="4">
        <v>32</v>
      </c>
      <c r="G70" s="4">
        <v>28</v>
      </c>
      <c r="H70" s="4">
        <v>35</v>
      </c>
      <c r="I70" s="93"/>
      <c r="J70" s="93"/>
      <c r="K70" s="93"/>
      <c r="L70" s="93"/>
      <c r="M70" s="93"/>
      <c r="N70" s="93"/>
      <c r="O70" s="93"/>
      <c r="P70" s="92" t="s">
        <v>442</v>
      </c>
      <c r="Q70" s="93"/>
      <c r="R70" s="93"/>
      <c r="S70" s="92" t="s">
        <v>442</v>
      </c>
      <c r="T70" s="93"/>
      <c r="U70" s="92" t="s">
        <v>442</v>
      </c>
      <c r="V70" s="92" t="s">
        <v>442</v>
      </c>
      <c r="W70" s="92" t="s">
        <v>442</v>
      </c>
      <c r="X70" s="92" t="s">
        <v>442</v>
      </c>
      <c r="Y70" s="93"/>
      <c r="Z70" s="93"/>
      <c r="AA70" s="93"/>
      <c r="AB70" s="93"/>
      <c r="AC70" s="93"/>
      <c r="AD70" s="93"/>
      <c r="AE70" s="92" t="s">
        <v>442</v>
      </c>
      <c r="AF70" s="93"/>
      <c r="AG70" s="17">
        <f t="shared" si="2"/>
        <v>50.4</v>
      </c>
      <c r="AH70" s="24"/>
    </row>
    <row r="71" spans="1:34">
      <c r="A71" s="18">
        <v>70</v>
      </c>
      <c r="B71" s="23" t="s">
        <v>653</v>
      </c>
      <c r="C71" s="3" t="s">
        <v>477</v>
      </c>
      <c r="D71" s="4">
        <v>66</v>
      </c>
      <c r="E71" s="4">
        <v>83</v>
      </c>
      <c r="F71" s="4">
        <v>28</v>
      </c>
      <c r="G71" s="4">
        <v>21</v>
      </c>
      <c r="H71" s="4">
        <v>41</v>
      </c>
      <c r="I71" s="93"/>
      <c r="J71" s="93"/>
      <c r="K71" s="93"/>
      <c r="L71" s="93"/>
      <c r="M71" s="93"/>
      <c r="N71" s="93"/>
      <c r="O71" s="93"/>
      <c r="P71" s="92" t="s">
        <v>442</v>
      </c>
      <c r="Q71" s="93"/>
      <c r="R71" s="92" t="s">
        <v>442</v>
      </c>
      <c r="S71" s="93"/>
      <c r="T71" s="93"/>
      <c r="U71" s="93"/>
      <c r="V71" s="92" t="s">
        <v>442</v>
      </c>
      <c r="W71" s="93"/>
      <c r="X71" s="93"/>
      <c r="Y71" s="93"/>
      <c r="Z71" s="93"/>
      <c r="AA71" s="93"/>
      <c r="AB71" s="93"/>
      <c r="AC71" s="93"/>
      <c r="AD71" s="93"/>
      <c r="AE71" s="92" t="s">
        <v>442</v>
      </c>
      <c r="AF71" s="93"/>
      <c r="AG71" s="17">
        <f t="shared" si="2"/>
        <v>47.8</v>
      </c>
      <c r="AH71" s="24" t="s">
        <v>654</v>
      </c>
    </row>
    <row r="72" spans="1:34">
      <c r="A72" s="18">
        <v>71</v>
      </c>
      <c r="B72" s="23" t="s">
        <v>595</v>
      </c>
      <c r="C72" s="3" t="s">
        <v>478</v>
      </c>
      <c r="D72" s="4">
        <v>33</v>
      </c>
      <c r="E72" s="4">
        <v>26</v>
      </c>
      <c r="F72" s="4">
        <v>77</v>
      </c>
      <c r="G72" s="4">
        <v>81</v>
      </c>
      <c r="H72" s="4">
        <v>55</v>
      </c>
      <c r="I72" s="93"/>
      <c r="J72" s="92" t="s">
        <v>442</v>
      </c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2" t="s">
        <v>442</v>
      </c>
      <c r="AE72" s="93"/>
      <c r="AF72" s="93"/>
      <c r="AG72" s="17">
        <f t="shared" si="2"/>
        <v>54.4</v>
      </c>
      <c r="AH72" s="24"/>
    </row>
    <row r="73" spans="1:34">
      <c r="A73" s="18">
        <v>72</v>
      </c>
      <c r="B73" s="23" t="s">
        <v>598</v>
      </c>
      <c r="C73" s="3" t="s">
        <v>490</v>
      </c>
      <c r="D73" s="4">
        <v>24</v>
      </c>
      <c r="E73" s="4">
        <v>28</v>
      </c>
      <c r="F73" s="4">
        <v>83</v>
      </c>
      <c r="G73" s="4">
        <v>61</v>
      </c>
      <c r="H73" s="4">
        <v>71</v>
      </c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17">
        <f t="shared" si="2"/>
        <v>53.4</v>
      </c>
      <c r="AH73" s="24"/>
    </row>
    <row r="74" spans="1:34">
      <c r="A74" s="18">
        <v>73</v>
      </c>
      <c r="B74" s="23" t="s">
        <v>599</v>
      </c>
      <c r="C74" s="3" t="s">
        <v>487</v>
      </c>
      <c r="D74" s="4">
        <v>26</v>
      </c>
      <c r="E74" s="4">
        <v>25</v>
      </c>
      <c r="F74" s="4">
        <v>81</v>
      </c>
      <c r="G74" s="4">
        <v>78</v>
      </c>
      <c r="H74" s="4">
        <v>62</v>
      </c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17">
        <f t="shared" si="2"/>
        <v>54.4</v>
      </c>
      <c r="AH74" s="24"/>
    </row>
    <row r="75" spans="1:34">
      <c r="A75" s="18">
        <v>74</v>
      </c>
      <c r="B75" s="23" t="s">
        <v>629</v>
      </c>
      <c r="C75" s="3" t="s">
        <v>488</v>
      </c>
      <c r="D75" s="4">
        <v>72</v>
      </c>
      <c r="E75" s="4">
        <v>59</v>
      </c>
      <c r="F75" s="4">
        <v>57</v>
      </c>
      <c r="G75" s="4">
        <v>48</v>
      </c>
      <c r="H75" s="4">
        <v>52</v>
      </c>
      <c r="I75" s="93"/>
      <c r="J75" s="93"/>
      <c r="K75" s="93"/>
      <c r="L75" s="93"/>
      <c r="M75" s="93"/>
      <c r="N75" s="93"/>
      <c r="O75" s="93"/>
      <c r="P75" s="92" t="s">
        <v>442</v>
      </c>
      <c r="Q75" s="93"/>
      <c r="R75" s="92" t="s">
        <v>442</v>
      </c>
      <c r="S75" s="93"/>
      <c r="T75" s="93"/>
      <c r="U75" s="93"/>
      <c r="V75" s="92" t="s">
        <v>442</v>
      </c>
      <c r="W75" s="93"/>
      <c r="X75" s="93"/>
      <c r="Y75" s="93"/>
      <c r="Z75" s="93"/>
      <c r="AA75" s="92" t="s">
        <v>442</v>
      </c>
      <c r="AB75" s="93"/>
      <c r="AC75" s="93"/>
      <c r="AD75" s="92" t="s">
        <v>442</v>
      </c>
      <c r="AE75" s="92" t="s">
        <v>442</v>
      </c>
      <c r="AF75" s="93"/>
      <c r="AG75" s="17">
        <f t="shared" si="2"/>
        <v>57.6</v>
      </c>
      <c r="AH75" s="24" t="s">
        <v>670</v>
      </c>
    </row>
    <row r="76" spans="1:34">
      <c r="A76" s="18">
        <v>75</v>
      </c>
      <c r="B76" s="23" t="s">
        <v>590</v>
      </c>
      <c r="C76" s="3" t="s">
        <v>489</v>
      </c>
      <c r="D76" s="4">
        <v>74</v>
      </c>
      <c r="E76" s="4">
        <v>62</v>
      </c>
      <c r="F76" s="4">
        <v>47</v>
      </c>
      <c r="G76" s="4">
        <v>41</v>
      </c>
      <c r="H76" s="4">
        <v>38</v>
      </c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2" t="s">
        <v>442</v>
      </c>
      <c r="T76" s="93"/>
      <c r="U76" s="92" t="s">
        <v>442</v>
      </c>
      <c r="V76" s="92" t="s">
        <v>442</v>
      </c>
      <c r="W76" s="93"/>
      <c r="X76" s="93"/>
      <c r="Y76" s="93"/>
      <c r="Z76" s="93"/>
      <c r="AA76" s="92" t="s">
        <v>442</v>
      </c>
      <c r="AB76" s="93"/>
      <c r="AC76" s="93"/>
      <c r="AD76" s="93"/>
      <c r="AE76" s="92" t="s">
        <v>442</v>
      </c>
      <c r="AF76" s="93"/>
      <c r="AG76" s="17">
        <f t="shared" si="2"/>
        <v>52.4</v>
      </c>
      <c r="AH76" s="24"/>
    </row>
    <row r="77" spans="1:34">
      <c r="A77" s="18">
        <v>76</v>
      </c>
      <c r="B77" s="23" t="s">
        <v>635</v>
      </c>
      <c r="C77" s="3" t="s">
        <v>533</v>
      </c>
      <c r="D77" s="4">
        <v>51</v>
      </c>
      <c r="E77" s="4">
        <v>48</v>
      </c>
      <c r="F77" s="4">
        <v>68</v>
      </c>
      <c r="G77" s="4">
        <v>72</v>
      </c>
      <c r="H77" s="4">
        <v>60</v>
      </c>
      <c r="I77" s="93"/>
      <c r="J77" s="93"/>
      <c r="K77" s="93"/>
      <c r="L77" s="92" t="s">
        <v>442</v>
      </c>
      <c r="M77" s="93"/>
      <c r="N77" s="93"/>
      <c r="O77" s="93"/>
      <c r="P77" s="93"/>
      <c r="Q77" s="93"/>
      <c r="R77" s="93"/>
      <c r="S77" s="93"/>
      <c r="T77" s="93"/>
      <c r="U77" s="92" t="s">
        <v>442</v>
      </c>
      <c r="V77" s="93"/>
      <c r="W77" s="93"/>
      <c r="X77" s="93"/>
      <c r="Y77" s="93"/>
      <c r="Z77" s="93"/>
      <c r="AA77" s="93"/>
      <c r="AB77" s="93"/>
      <c r="AC77" s="93"/>
      <c r="AD77" s="92" t="s">
        <v>442</v>
      </c>
      <c r="AE77" s="93"/>
      <c r="AF77" s="93"/>
      <c r="AG77" s="17">
        <f t="shared" si="2"/>
        <v>59.8</v>
      </c>
      <c r="AH77" s="24" t="s">
        <v>636</v>
      </c>
    </row>
    <row r="78" spans="1:34">
      <c r="A78" s="18">
        <v>77</v>
      </c>
      <c r="B78" s="23" t="s">
        <v>610</v>
      </c>
      <c r="C78" s="3" t="s">
        <v>491</v>
      </c>
      <c r="D78" s="4">
        <v>73</v>
      </c>
      <c r="E78" s="4">
        <v>61</v>
      </c>
      <c r="F78" s="4">
        <v>36</v>
      </c>
      <c r="G78" s="4">
        <v>30</v>
      </c>
      <c r="H78" s="4">
        <v>41</v>
      </c>
      <c r="I78" s="93"/>
      <c r="J78" s="93"/>
      <c r="K78" s="93"/>
      <c r="L78" s="93"/>
      <c r="M78" s="93"/>
      <c r="N78" s="93"/>
      <c r="O78" s="92" t="s">
        <v>442</v>
      </c>
      <c r="P78" s="93"/>
      <c r="Q78" s="93"/>
      <c r="R78" s="93"/>
      <c r="S78" s="93"/>
      <c r="T78" s="93"/>
      <c r="U78" s="92" t="s">
        <v>442</v>
      </c>
      <c r="V78" s="92" t="s">
        <v>442</v>
      </c>
      <c r="W78" s="93"/>
      <c r="X78" s="92" t="s">
        <v>442</v>
      </c>
      <c r="Y78" s="93"/>
      <c r="Z78" s="93"/>
      <c r="AA78" s="93"/>
      <c r="AB78" s="92" t="s">
        <v>442</v>
      </c>
      <c r="AC78" s="93"/>
      <c r="AD78" s="93"/>
      <c r="AE78" s="92" t="s">
        <v>442</v>
      </c>
      <c r="AF78" s="92" t="s">
        <v>442</v>
      </c>
      <c r="AG78" s="17">
        <f t="shared" si="2"/>
        <v>48.2</v>
      </c>
      <c r="AH78" s="24"/>
    </row>
    <row r="79" spans="1:34">
      <c r="A79" s="18">
        <v>78</v>
      </c>
      <c r="B79" s="23" t="s">
        <v>593</v>
      </c>
      <c r="C79" s="3" t="s">
        <v>535</v>
      </c>
      <c r="D79" s="4">
        <v>73</v>
      </c>
      <c r="E79" s="4">
        <v>73</v>
      </c>
      <c r="F79" s="4">
        <v>35</v>
      </c>
      <c r="G79" s="4">
        <v>30</v>
      </c>
      <c r="H79" s="4">
        <v>31</v>
      </c>
      <c r="I79" s="93"/>
      <c r="J79" s="93"/>
      <c r="K79" s="93"/>
      <c r="L79" s="93"/>
      <c r="M79" s="93"/>
      <c r="N79" s="93"/>
      <c r="O79" s="92" t="s">
        <v>442</v>
      </c>
      <c r="P79" s="93"/>
      <c r="Q79" s="93"/>
      <c r="R79" s="93"/>
      <c r="S79" s="92" t="s">
        <v>442</v>
      </c>
      <c r="T79" s="93"/>
      <c r="U79" s="92" t="s">
        <v>442</v>
      </c>
      <c r="V79" s="92" t="s">
        <v>442</v>
      </c>
      <c r="W79" s="93"/>
      <c r="X79" s="93"/>
      <c r="Y79" s="93"/>
      <c r="Z79" s="93"/>
      <c r="AA79" s="92" t="s">
        <v>442</v>
      </c>
      <c r="AB79" s="93"/>
      <c r="AC79" s="93"/>
      <c r="AD79" s="93"/>
      <c r="AE79" s="92" t="s">
        <v>442</v>
      </c>
      <c r="AF79" s="93"/>
      <c r="AG79" s="17">
        <f t="shared" si="2"/>
        <v>48.4</v>
      </c>
      <c r="AH79" s="24"/>
    </row>
    <row r="80" spans="1:34">
      <c r="A80" s="18">
        <v>79</v>
      </c>
      <c r="B80" s="23" t="s">
        <v>619</v>
      </c>
      <c r="C80" s="3" t="s">
        <v>492</v>
      </c>
      <c r="D80" s="4">
        <v>33</v>
      </c>
      <c r="E80" s="4">
        <v>32</v>
      </c>
      <c r="F80" s="4">
        <v>72</v>
      </c>
      <c r="G80" s="4">
        <v>63</v>
      </c>
      <c r="H80" s="4">
        <v>72</v>
      </c>
      <c r="I80" s="92" t="s">
        <v>442</v>
      </c>
      <c r="J80" s="92" t="s">
        <v>442</v>
      </c>
      <c r="K80" s="93"/>
      <c r="L80" s="93"/>
      <c r="M80" s="93"/>
      <c r="N80" s="93"/>
      <c r="O80" s="93"/>
      <c r="P80" s="93"/>
      <c r="Q80" s="92" t="s">
        <v>442</v>
      </c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2" t="s">
        <v>442</v>
      </c>
      <c r="AG80" s="17">
        <f t="shared" si="2"/>
        <v>54.4</v>
      </c>
      <c r="AH80" s="24"/>
    </row>
    <row r="81" spans="1:34">
      <c r="A81" s="18">
        <v>80</v>
      </c>
      <c r="B81" s="23" t="s">
        <v>631</v>
      </c>
      <c r="C81" s="3" t="s">
        <v>493</v>
      </c>
      <c r="D81" s="4">
        <v>70</v>
      </c>
      <c r="E81" s="4">
        <v>62</v>
      </c>
      <c r="F81" s="4">
        <v>44</v>
      </c>
      <c r="G81" s="4">
        <v>40</v>
      </c>
      <c r="H81" s="4">
        <v>58</v>
      </c>
      <c r="I81" s="93"/>
      <c r="J81" s="93"/>
      <c r="K81" s="93"/>
      <c r="L81" s="93"/>
      <c r="M81" s="93"/>
      <c r="N81" s="93"/>
      <c r="O81" s="93"/>
      <c r="P81" s="92" t="s">
        <v>442</v>
      </c>
      <c r="Q81" s="93"/>
      <c r="R81" s="92" t="s">
        <v>442</v>
      </c>
      <c r="S81" s="93"/>
      <c r="T81" s="93"/>
      <c r="U81" s="92" t="s">
        <v>442</v>
      </c>
      <c r="V81" s="92" t="s">
        <v>442</v>
      </c>
      <c r="W81" s="93"/>
      <c r="X81" s="93"/>
      <c r="Y81" s="93"/>
      <c r="Z81" s="93"/>
      <c r="AA81" s="93"/>
      <c r="AB81" s="93"/>
      <c r="AC81" s="93"/>
      <c r="AD81" s="92" t="s">
        <v>442</v>
      </c>
      <c r="AE81" s="92" t="s">
        <v>442</v>
      </c>
      <c r="AF81" s="93"/>
      <c r="AG81" s="17">
        <f t="shared" si="2"/>
        <v>54.8</v>
      </c>
      <c r="AH81" s="24" t="s">
        <v>632</v>
      </c>
    </row>
    <row r="82" spans="1:34">
      <c r="A82" s="18">
        <v>81</v>
      </c>
      <c r="B82" s="23" t="s">
        <v>657</v>
      </c>
      <c r="C82" s="3" t="s">
        <v>494</v>
      </c>
      <c r="D82" s="4">
        <v>58</v>
      </c>
      <c r="E82" s="4">
        <v>68</v>
      </c>
      <c r="F82" s="4">
        <v>54</v>
      </c>
      <c r="G82" s="4">
        <v>58</v>
      </c>
      <c r="H82" s="4">
        <v>56</v>
      </c>
      <c r="I82" s="93"/>
      <c r="J82" s="92" t="s">
        <v>442</v>
      </c>
      <c r="K82" s="92" t="s">
        <v>442</v>
      </c>
      <c r="L82" s="93"/>
      <c r="M82" s="93"/>
      <c r="N82" s="93"/>
      <c r="O82" s="92" t="s">
        <v>442</v>
      </c>
      <c r="P82" s="93"/>
      <c r="Q82" s="92" t="s">
        <v>442</v>
      </c>
      <c r="R82" s="93"/>
      <c r="S82" s="93"/>
      <c r="T82" s="93"/>
      <c r="U82" s="92" t="s">
        <v>442</v>
      </c>
      <c r="V82" s="92" t="s">
        <v>442</v>
      </c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17">
        <f t="shared" si="2"/>
        <v>58.8</v>
      </c>
      <c r="AH82" s="24" t="s">
        <v>666</v>
      </c>
    </row>
    <row r="83" spans="1:34">
      <c r="A83" s="18">
        <v>82</v>
      </c>
      <c r="B83" s="23" t="s">
        <v>659</v>
      </c>
      <c r="C83" s="3" t="s">
        <v>495</v>
      </c>
      <c r="D83" s="4">
        <v>55</v>
      </c>
      <c r="E83" s="4">
        <v>64</v>
      </c>
      <c r="F83" s="4">
        <v>64</v>
      </c>
      <c r="G83" s="4">
        <v>53</v>
      </c>
      <c r="H83" s="4">
        <v>68</v>
      </c>
      <c r="I83" s="93"/>
      <c r="J83" s="92" t="s">
        <v>442</v>
      </c>
      <c r="K83" s="92" t="s">
        <v>442</v>
      </c>
      <c r="L83" s="93"/>
      <c r="M83" s="93"/>
      <c r="N83" s="93"/>
      <c r="O83" s="92" t="s">
        <v>442</v>
      </c>
      <c r="P83" s="93"/>
      <c r="Q83" s="92" t="s">
        <v>442</v>
      </c>
      <c r="R83" s="93"/>
      <c r="S83" s="93"/>
      <c r="T83" s="93"/>
      <c r="U83" s="93"/>
      <c r="V83" s="92" t="s">
        <v>442</v>
      </c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17">
        <f t="shared" si="2"/>
        <v>60.8</v>
      </c>
      <c r="AH83" s="24" t="s">
        <v>665</v>
      </c>
    </row>
    <row r="84" spans="1:34">
      <c r="A84" s="18">
        <v>83</v>
      </c>
      <c r="B84" s="23" t="s">
        <v>639</v>
      </c>
      <c r="C84" s="3" t="s">
        <v>496</v>
      </c>
      <c r="D84" s="4">
        <v>68</v>
      </c>
      <c r="E84" s="4">
        <v>65</v>
      </c>
      <c r="F84" s="4">
        <v>56</v>
      </c>
      <c r="G84" s="4">
        <v>49</v>
      </c>
      <c r="H84" s="4">
        <v>59</v>
      </c>
      <c r="I84" s="93"/>
      <c r="J84" s="93"/>
      <c r="K84" s="93"/>
      <c r="L84" s="93"/>
      <c r="M84" s="93"/>
      <c r="N84" s="93"/>
      <c r="O84" s="92" t="s">
        <v>442</v>
      </c>
      <c r="P84" s="93"/>
      <c r="Q84" s="93"/>
      <c r="R84" s="92" t="s">
        <v>442</v>
      </c>
      <c r="S84" s="93"/>
      <c r="T84" s="93"/>
      <c r="U84" s="92" t="s">
        <v>442</v>
      </c>
      <c r="V84" s="92" t="s">
        <v>442</v>
      </c>
      <c r="W84" s="93"/>
      <c r="X84" s="92" t="s">
        <v>442</v>
      </c>
      <c r="Y84" s="93"/>
      <c r="Z84" s="93"/>
      <c r="AA84" s="93"/>
      <c r="AB84" s="93"/>
      <c r="AC84" s="93"/>
      <c r="AD84" s="93"/>
      <c r="AE84" s="93"/>
      <c r="AF84" s="93"/>
      <c r="AG84" s="17">
        <f t="shared" si="2"/>
        <v>59.4</v>
      </c>
      <c r="AH84" s="24" t="s">
        <v>640</v>
      </c>
    </row>
    <row r="85" spans="1:34">
      <c r="A85" s="18">
        <v>84</v>
      </c>
      <c r="B85" s="23" t="s">
        <v>611</v>
      </c>
      <c r="C85" s="3" t="s">
        <v>497</v>
      </c>
      <c r="D85" s="4">
        <v>75</v>
      </c>
      <c r="E85" s="4">
        <v>58</v>
      </c>
      <c r="F85" s="4">
        <v>32</v>
      </c>
      <c r="G85" s="4">
        <v>29</v>
      </c>
      <c r="H85" s="4">
        <v>30</v>
      </c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2" t="s">
        <v>442</v>
      </c>
      <c r="V85" s="92" t="s">
        <v>442</v>
      </c>
      <c r="W85" s="93"/>
      <c r="X85" s="93"/>
      <c r="Y85" s="93"/>
      <c r="Z85" s="93"/>
      <c r="AA85" s="92" t="s">
        <v>442</v>
      </c>
      <c r="AB85" s="92" t="s">
        <v>442</v>
      </c>
      <c r="AC85" s="93"/>
      <c r="AD85" s="93"/>
      <c r="AE85" s="92" t="s">
        <v>442</v>
      </c>
      <c r="AF85" s="93"/>
      <c r="AG85" s="17">
        <f t="shared" si="2"/>
        <v>44.8</v>
      </c>
      <c r="AH85" s="24"/>
    </row>
    <row r="86" spans="1:34">
      <c r="A86" s="18">
        <v>85</v>
      </c>
      <c r="B86" s="23" t="s">
        <v>591</v>
      </c>
      <c r="C86" s="3" t="s">
        <v>498</v>
      </c>
      <c r="D86" s="4">
        <v>76</v>
      </c>
      <c r="E86" s="4">
        <v>63</v>
      </c>
      <c r="F86" s="4">
        <v>21</v>
      </c>
      <c r="G86" s="4">
        <v>18</v>
      </c>
      <c r="H86" s="4">
        <v>29</v>
      </c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2" t="s">
        <v>442</v>
      </c>
      <c r="T86" s="93"/>
      <c r="U86" s="93"/>
      <c r="V86" s="92" t="s">
        <v>442</v>
      </c>
      <c r="W86" s="92" t="s">
        <v>442</v>
      </c>
      <c r="X86" s="93"/>
      <c r="Y86" s="93"/>
      <c r="Z86" s="93"/>
      <c r="AA86" s="92" t="s">
        <v>442</v>
      </c>
      <c r="AB86" s="93"/>
      <c r="AC86" s="93"/>
      <c r="AD86" s="93"/>
      <c r="AE86" s="92" t="s">
        <v>442</v>
      </c>
      <c r="AF86" s="93"/>
      <c r="AG86" s="17">
        <f t="shared" si="2"/>
        <v>41.4</v>
      </c>
      <c r="AH86" s="24"/>
    </row>
    <row r="87" spans="1:34">
      <c r="A87" s="18">
        <v>86</v>
      </c>
      <c r="B87" s="23" t="s">
        <v>602</v>
      </c>
      <c r="C87" s="3" t="s">
        <v>499</v>
      </c>
      <c r="D87" s="4">
        <v>78</v>
      </c>
      <c r="E87" s="4">
        <v>55</v>
      </c>
      <c r="F87" s="4">
        <v>18</v>
      </c>
      <c r="G87" s="4">
        <v>11</v>
      </c>
      <c r="H87" s="4">
        <v>33</v>
      </c>
      <c r="I87" s="93"/>
      <c r="J87" s="93"/>
      <c r="K87" s="93"/>
      <c r="L87" s="93"/>
      <c r="M87" s="93"/>
      <c r="N87" s="93"/>
      <c r="O87" s="93"/>
      <c r="P87" s="93"/>
      <c r="Q87" s="93"/>
      <c r="R87" s="92" t="s">
        <v>442</v>
      </c>
      <c r="S87" s="93"/>
      <c r="T87" s="93"/>
      <c r="U87" s="93"/>
      <c r="V87" s="92" t="s">
        <v>442</v>
      </c>
      <c r="W87" s="93"/>
      <c r="X87" s="93"/>
      <c r="Y87" s="93"/>
      <c r="Z87" s="93"/>
      <c r="AA87" s="92" t="s">
        <v>442</v>
      </c>
      <c r="AB87" s="93"/>
      <c r="AC87" s="93"/>
      <c r="AD87" s="93"/>
      <c r="AE87" s="92" t="s">
        <v>442</v>
      </c>
      <c r="AF87" s="93"/>
      <c r="AG87" s="17">
        <f t="shared" si="2"/>
        <v>39</v>
      </c>
      <c r="AH87" s="24"/>
    </row>
    <row r="88" spans="1:34">
      <c r="A88" s="18">
        <v>87</v>
      </c>
      <c r="B88" s="23" t="s">
        <v>645</v>
      </c>
      <c r="C88" s="3" t="s">
        <v>500</v>
      </c>
      <c r="D88" s="4">
        <v>70</v>
      </c>
      <c r="E88" s="4">
        <v>38</v>
      </c>
      <c r="F88" s="4">
        <v>54</v>
      </c>
      <c r="G88" s="4">
        <v>58</v>
      </c>
      <c r="H88" s="4">
        <v>46</v>
      </c>
      <c r="I88" s="93"/>
      <c r="J88" s="93"/>
      <c r="K88" s="93"/>
      <c r="L88" s="93"/>
      <c r="M88" s="93"/>
      <c r="N88" s="93"/>
      <c r="O88" s="92" t="s">
        <v>442</v>
      </c>
      <c r="P88" s="93"/>
      <c r="Q88" s="93"/>
      <c r="R88" s="92" t="s">
        <v>442</v>
      </c>
      <c r="S88" s="93"/>
      <c r="T88" s="93"/>
      <c r="U88" s="93"/>
      <c r="V88" s="92" t="s">
        <v>442</v>
      </c>
      <c r="W88" s="93"/>
      <c r="X88" s="93"/>
      <c r="Y88" s="93"/>
      <c r="Z88" s="93"/>
      <c r="AA88" s="92" t="s">
        <v>442</v>
      </c>
      <c r="AB88" s="93"/>
      <c r="AC88" s="93"/>
      <c r="AD88" s="93"/>
      <c r="AE88" s="92" t="s">
        <v>442</v>
      </c>
      <c r="AF88" s="93"/>
      <c r="AG88" s="17">
        <f t="shared" si="2"/>
        <v>53.2</v>
      </c>
      <c r="AH88" s="24" t="s">
        <v>646</v>
      </c>
    </row>
    <row r="89" spans="1:34">
      <c r="A89" s="18">
        <v>88</v>
      </c>
      <c r="B89" s="23" t="s">
        <v>642</v>
      </c>
      <c r="C89" s="3" t="s">
        <v>501</v>
      </c>
      <c r="D89" s="4">
        <v>48</v>
      </c>
      <c r="E89" s="4">
        <v>38</v>
      </c>
      <c r="F89" s="4">
        <v>67</v>
      </c>
      <c r="G89" s="4">
        <v>66</v>
      </c>
      <c r="H89" s="4">
        <v>67</v>
      </c>
      <c r="I89" s="93"/>
      <c r="J89" s="92" t="s">
        <v>442</v>
      </c>
      <c r="K89" s="92" t="s">
        <v>442</v>
      </c>
      <c r="L89" s="93"/>
      <c r="M89" s="93"/>
      <c r="N89" s="93"/>
      <c r="O89" s="92" t="s">
        <v>442</v>
      </c>
      <c r="P89" s="93"/>
      <c r="Q89" s="92" t="s">
        <v>442</v>
      </c>
      <c r="R89" s="93"/>
      <c r="S89" s="93"/>
      <c r="T89" s="93"/>
      <c r="U89" s="92" t="s">
        <v>442</v>
      </c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2" t="s">
        <v>442</v>
      </c>
      <c r="AG89" s="17">
        <f t="shared" si="2"/>
        <v>57.2</v>
      </c>
      <c r="AH89" s="24" t="s">
        <v>638</v>
      </c>
    </row>
    <row r="90" spans="1:34">
      <c r="A90" s="18">
        <v>89</v>
      </c>
      <c r="B90" s="23" t="s">
        <v>592</v>
      </c>
      <c r="C90" s="3" t="s">
        <v>506</v>
      </c>
      <c r="D90" s="9">
        <v>72</v>
      </c>
      <c r="E90" s="9">
        <v>49</v>
      </c>
      <c r="F90" s="9">
        <v>28</v>
      </c>
      <c r="G90" s="9">
        <v>23</v>
      </c>
      <c r="H90" s="9">
        <v>48</v>
      </c>
      <c r="I90" s="93"/>
      <c r="J90" s="93"/>
      <c r="K90" s="92" t="s">
        <v>442</v>
      </c>
      <c r="L90" s="93"/>
      <c r="M90" s="93"/>
      <c r="N90" s="93"/>
      <c r="O90" s="93"/>
      <c r="P90" s="93"/>
      <c r="Q90" s="93"/>
      <c r="R90" s="93"/>
      <c r="S90" s="92" t="s">
        <v>442</v>
      </c>
      <c r="T90" s="93"/>
      <c r="U90" s="92" t="s">
        <v>442</v>
      </c>
      <c r="V90" s="92" t="s">
        <v>442</v>
      </c>
      <c r="W90" s="92" t="s">
        <v>442</v>
      </c>
      <c r="X90" s="92" t="s">
        <v>442</v>
      </c>
      <c r="Y90" s="93"/>
      <c r="Z90" s="93"/>
      <c r="AA90" s="93"/>
      <c r="AB90" s="93"/>
      <c r="AC90" s="93"/>
      <c r="AD90" s="93"/>
      <c r="AE90" s="92" t="s">
        <v>442</v>
      </c>
      <c r="AF90" s="93"/>
      <c r="AG90" s="9">
        <f t="shared" si="2"/>
        <v>44</v>
      </c>
      <c r="AH90" s="24"/>
    </row>
    <row r="91" spans="1:34">
      <c r="A91" s="18">
        <v>90</v>
      </c>
      <c r="B91" s="23" t="s">
        <v>605</v>
      </c>
      <c r="C91" s="3" t="s">
        <v>507</v>
      </c>
      <c r="D91" s="9">
        <v>71</v>
      </c>
      <c r="E91" s="9">
        <v>62</v>
      </c>
      <c r="F91" s="9">
        <v>37</v>
      </c>
      <c r="G91" s="9">
        <v>34</v>
      </c>
      <c r="H91" s="9">
        <v>35</v>
      </c>
      <c r="I91" s="93"/>
      <c r="J91" s="93"/>
      <c r="K91" s="93"/>
      <c r="L91" s="93"/>
      <c r="M91" s="93"/>
      <c r="N91" s="93"/>
      <c r="O91" s="93"/>
      <c r="P91" s="93"/>
      <c r="Q91" s="93"/>
      <c r="R91" s="92" t="s">
        <v>442</v>
      </c>
      <c r="S91" s="93"/>
      <c r="T91" s="93"/>
      <c r="U91" s="92" t="s">
        <v>442</v>
      </c>
      <c r="V91" s="92" t="s">
        <v>442</v>
      </c>
      <c r="W91" s="93"/>
      <c r="X91" s="93"/>
      <c r="Y91" s="93"/>
      <c r="Z91" s="93"/>
      <c r="AA91" s="92" t="s">
        <v>442</v>
      </c>
      <c r="AB91" s="93"/>
      <c r="AC91" s="93"/>
      <c r="AD91" s="93"/>
      <c r="AE91" s="92" t="s">
        <v>442</v>
      </c>
      <c r="AF91" s="93"/>
      <c r="AG91" s="9">
        <f t="shared" si="2"/>
        <v>47.8</v>
      </c>
      <c r="AH91" s="24"/>
    </row>
    <row r="92" spans="1:34">
      <c r="A92" s="18">
        <v>91</v>
      </c>
      <c r="B92" s="3" t="s">
        <v>606</v>
      </c>
      <c r="C92" s="3" t="s">
        <v>525</v>
      </c>
      <c r="D92" s="4">
        <v>70</v>
      </c>
      <c r="E92" s="4">
        <v>64</v>
      </c>
      <c r="F92" s="4">
        <v>39</v>
      </c>
      <c r="G92" s="4">
        <v>31</v>
      </c>
      <c r="H92" s="4">
        <v>40</v>
      </c>
      <c r="I92" s="92"/>
      <c r="J92" s="92"/>
      <c r="K92" s="92"/>
      <c r="L92" s="92"/>
      <c r="M92" s="92"/>
      <c r="N92" s="92"/>
      <c r="O92" s="92"/>
      <c r="P92" s="92"/>
      <c r="Q92" s="92"/>
      <c r="R92" s="92" t="s">
        <v>442</v>
      </c>
      <c r="S92" s="92"/>
      <c r="T92" s="92"/>
      <c r="U92" s="92" t="s">
        <v>442</v>
      </c>
      <c r="V92" s="92" t="s">
        <v>442</v>
      </c>
      <c r="W92" s="92"/>
      <c r="X92" s="92"/>
      <c r="Y92" s="92"/>
      <c r="Z92" s="92"/>
      <c r="AA92" s="92" t="s">
        <v>442</v>
      </c>
      <c r="AB92" s="92"/>
      <c r="AC92" s="92"/>
      <c r="AD92" s="92"/>
      <c r="AE92" s="92"/>
      <c r="AF92" s="92" t="s">
        <v>442</v>
      </c>
      <c r="AG92" s="17">
        <f t="shared" si="2"/>
        <v>48.8</v>
      </c>
      <c r="AH92" s="24"/>
    </row>
    <row r="93" spans="1:34">
      <c r="A93" s="18">
        <v>92</v>
      </c>
      <c r="B93" s="23" t="s">
        <v>627</v>
      </c>
      <c r="C93" s="3" t="s">
        <v>508</v>
      </c>
      <c r="D93" s="9">
        <v>71</v>
      </c>
      <c r="E93" s="9">
        <v>38</v>
      </c>
      <c r="F93" s="9">
        <v>34</v>
      </c>
      <c r="G93" s="9">
        <v>28</v>
      </c>
      <c r="H93" s="9">
        <v>35</v>
      </c>
      <c r="I93" s="93"/>
      <c r="J93" s="93"/>
      <c r="K93" s="93"/>
      <c r="L93" s="93"/>
      <c r="M93" s="93"/>
      <c r="N93" s="93"/>
      <c r="O93" s="93"/>
      <c r="P93" s="92" t="s">
        <v>442</v>
      </c>
      <c r="Q93" s="93"/>
      <c r="R93" s="92" t="s">
        <v>442</v>
      </c>
      <c r="S93" s="93"/>
      <c r="T93" s="93"/>
      <c r="U93" s="92" t="s">
        <v>442</v>
      </c>
      <c r="V93" s="92" t="s">
        <v>442</v>
      </c>
      <c r="W93" s="93"/>
      <c r="X93" s="93"/>
      <c r="Y93" s="93"/>
      <c r="Z93" s="93"/>
      <c r="AA93" s="92" t="s">
        <v>442</v>
      </c>
      <c r="AB93" s="93"/>
      <c r="AC93" s="93"/>
      <c r="AD93" s="92" t="s">
        <v>442</v>
      </c>
      <c r="AE93" s="92" t="s">
        <v>442</v>
      </c>
      <c r="AF93" s="93"/>
      <c r="AG93" s="9">
        <f t="shared" si="2"/>
        <v>41.2</v>
      </c>
      <c r="AH93" s="25" t="s">
        <v>630</v>
      </c>
    </row>
    <row r="94" spans="1:34">
      <c r="A94" s="18">
        <v>93</v>
      </c>
      <c r="B94" s="23" t="s">
        <v>641</v>
      </c>
      <c r="C94" s="3" t="s">
        <v>509</v>
      </c>
      <c r="D94" s="9">
        <v>67</v>
      </c>
      <c r="E94" s="9">
        <v>60</v>
      </c>
      <c r="F94" s="9">
        <v>43</v>
      </c>
      <c r="G94" s="9">
        <v>39</v>
      </c>
      <c r="H94" s="9">
        <v>48</v>
      </c>
      <c r="I94" s="93"/>
      <c r="J94" s="93"/>
      <c r="K94" s="93"/>
      <c r="L94" s="93"/>
      <c r="M94" s="93"/>
      <c r="N94" s="93"/>
      <c r="O94" s="93"/>
      <c r="P94" s="93"/>
      <c r="Q94" s="93"/>
      <c r="R94" s="92" t="s">
        <v>442</v>
      </c>
      <c r="S94" s="93"/>
      <c r="T94" s="93"/>
      <c r="U94" s="92" t="s">
        <v>442</v>
      </c>
      <c r="V94" s="92" t="s">
        <v>442</v>
      </c>
      <c r="W94" s="93"/>
      <c r="X94" s="93"/>
      <c r="Y94" s="93"/>
      <c r="Z94" s="93"/>
      <c r="AA94" s="92" t="s">
        <v>442</v>
      </c>
      <c r="AB94" s="93"/>
      <c r="AC94" s="93"/>
      <c r="AD94" s="92" t="s">
        <v>442</v>
      </c>
      <c r="AE94" s="92" t="s">
        <v>442</v>
      </c>
      <c r="AF94" s="93"/>
      <c r="AG94" s="9">
        <f t="shared" si="2"/>
        <v>51.4</v>
      </c>
      <c r="AH94" s="24" t="s">
        <v>640</v>
      </c>
    </row>
    <row r="95" spans="1:34">
      <c r="A95" s="18">
        <v>94</v>
      </c>
      <c r="B95" s="23" t="s">
        <v>600</v>
      </c>
      <c r="C95" s="3" t="s">
        <v>510</v>
      </c>
      <c r="D95" s="9">
        <v>69</v>
      </c>
      <c r="E95" s="9">
        <v>64</v>
      </c>
      <c r="F95" s="9">
        <v>27</v>
      </c>
      <c r="G95" s="9">
        <v>21</v>
      </c>
      <c r="H95" s="9">
        <v>31</v>
      </c>
      <c r="I95" s="93"/>
      <c r="J95" s="93"/>
      <c r="K95" s="93"/>
      <c r="L95" s="93"/>
      <c r="M95" s="93"/>
      <c r="N95" s="93"/>
      <c r="O95" s="92" t="s">
        <v>442</v>
      </c>
      <c r="P95" s="92" t="s">
        <v>442</v>
      </c>
      <c r="Q95" s="93"/>
      <c r="R95" s="93"/>
      <c r="S95" s="92" t="s">
        <v>442</v>
      </c>
      <c r="T95" s="93"/>
      <c r="U95" s="92" t="s">
        <v>442</v>
      </c>
      <c r="V95" s="92" t="s">
        <v>442</v>
      </c>
      <c r="W95" s="92" t="s">
        <v>442</v>
      </c>
      <c r="X95" s="93"/>
      <c r="Y95" s="93"/>
      <c r="Z95" s="93"/>
      <c r="AA95" s="92" t="s">
        <v>442</v>
      </c>
      <c r="AB95" s="93"/>
      <c r="AC95" s="93"/>
      <c r="AD95" s="93"/>
      <c r="AE95" s="92" t="s">
        <v>442</v>
      </c>
      <c r="AF95" s="93"/>
      <c r="AG95" s="9">
        <f t="shared" si="2"/>
        <v>42.4</v>
      </c>
      <c r="AH95" s="24"/>
    </row>
    <row r="96" spans="1:34">
      <c r="A96" s="18">
        <v>95</v>
      </c>
      <c r="B96" s="23" t="s">
        <v>615</v>
      </c>
      <c r="C96" s="3" t="s">
        <v>502</v>
      </c>
      <c r="D96" s="4">
        <v>71</v>
      </c>
      <c r="E96" s="4">
        <v>59</v>
      </c>
      <c r="F96" s="4">
        <v>29</v>
      </c>
      <c r="G96" s="4">
        <v>22</v>
      </c>
      <c r="H96" s="4">
        <v>42</v>
      </c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2" t="s">
        <v>442</v>
      </c>
      <c r="T96" s="93"/>
      <c r="U96" s="92" t="s">
        <v>442</v>
      </c>
      <c r="V96" s="92" t="s">
        <v>442</v>
      </c>
      <c r="W96" s="93"/>
      <c r="X96" s="93"/>
      <c r="Y96" s="93"/>
      <c r="Z96" s="93"/>
      <c r="AA96" s="92" t="s">
        <v>442</v>
      </c>
      <c r="AB96" s="93"/>
      <c r="AC96" s="93"/>
      <c r="AD96" s="93"/>
      <c r="AE96" s="92" t="s">
        <v>442</v>
      </c>
      <c r="AF96" s="93"/>
      <c r="AG96" s="17">
        <f t="shared" si="2"/>
        <v>44.6</v>
      </c>
      <c r="AH96" s="24"/>
    </row>
    <row r="97" spans="1:34">
      <c r="A97" s="18">
        <v>96</v>
      </c>
      <c r="B97" s="23" t="s">
        <v>617</v>
      </c>
      <c r="C97" s="3" t="s">
        <v>503</v>
      </c>
      <c r="D97" s="4">
        <v>48</v>
      </c>
      <c r="E97" s="4">
        <v>72</v>
      </c>
      <c r="F97" s="4">
        <v>31</v>
      </c>
      <c r="G97" s="4">
        <v>48</v>
      </c>
      <c r="H97" s="4">
        <v>43</v>
      </c>
      <c r="I97" s="93"/>
      <c r="J97" s="93"/>
      <c r="K97" s="93"/>
      <c r="L97" s="92" t="s">
        <v>442</v>
      </c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2" t="s">
        <v>442</v>
      </c>
      <c r="AE97" s="93"/>
      <c r="AF97" s="93"/>
      <c r="AG97" s="17">
        <f t="shared" si="2"/>
        <v>48.4</v>
      </c>
      <c r="AH97" s="24"/>
    </row>
    <row r="98" spans="1:34">
      <c r="A98" s="18">
        <v>97</v>
      </c>
      <c r="B98" s="23" t="s">
        <v>643</v>
      </c>
      <c r="C98" s="3" t="s">
        <v>504</v>
      </c>
      <c r="D98" s="4">
        <v>51</v>
      </c>
      <c r="E98" s="4">
        <v>32</v>
      </c>
      <c r="F98" s="4">
        <v>64</v>
      </c>
      <c r="G98" s="4">
        <v>61</v>
      </c>
      <c r="H98" s="4">
        <v>65</v>
      </c>
      <c r="I98" s="93"/>
      <c r="J98" s="92" t="s">
        <v>442</v>
      </c>
      <c r="K98" s="92" t="s">
        <v>442</v>
      </c>
      <c r="L98" s="92" t="s">
        <v>442</v>
      </c>
      <c r="M98" s="93"/>
      <c r="N98" s="93"/>
      <c r="O98" s="92" t="s">
        <v>442</v>
      </c>
      <c r="P98" s="93"/>
      <c r="Q98" s="92" t="s">
        <v>442</v>
      </c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2" t="s">
        <v>442</v>
      </c>
      <c r="AG98" s="17">
        <f t="shared" ref="AG98:AG118" si="3">SUM(D98:H98)/5</f>
        <v>54.6</v>
      </c>
      <c r="AH98" s="24" t="s">
        <v>644</v>
      </c>
    </row>
    <row r="99" spans="1:34">
      <c r="A99" s="18">
        <v>98</v>
      </c>
      <c r="B99" s="23" t="s">
        <v>650</v>
      </c>
      <c r="C99" s="3" t="s">
        <v>505</v>
      </c>
      <c r="D99" s="4">
        <v>55</v>
      </c>
      <c r="E99" s="4">
        <v>44</v>
      </c>
      <c r="F99" s="4">
        <v>60</v>
      </c>
      <c r="G99" s="4">
        <v>57</v>
      </c>
      <c r="H99" s="4">
        <v>63</v>
      </c>
      <c r="I99" s="93"/>
      <c r="J99" s="92" t="s">
        <v>442</v>
      </c>
      <c r="K99" s="92" t="s">
        <v>442</v>
      </c>
      <c r="L99" s="93"/>
      <c r="M99" s="93"/>
      <c r="N99" s="93"/>
      <c r="O99" s="92" t="s">
        <v>442</v>
      </c>
      <c r="P99" s="93"/>
      <c r="Q99" s="92" t="s">
        <v>442</v>
      </c>
      <c r="R99" s="93"/>
      <c r="S99" s="93"/>
      <c r="T99" s="93"/>
      <c r="U99" s="92" t="s">
        <v>442</v>
      </c>
      <c r="V99" s="93"/>
      <c r="W99" s="93"/>
      <c r="X99" s="93"/>
      <c r="Y99" s="93"/>
      <c r="Z99" s="93"/>
      <c r="AA99" s="93"/>
      <c r="AB99" s="93"/>
      <c r="AC99" s="93"/>
      <c r="AD99" s="92" t="s">
        <v>442</v>
      </c>
      <c r="AE99" s="93"/>
      <c r="AF99" s="93"/>
      <c r="AG99" s="17">
        <f t="shared" si="3"/>
        <v>55.8</v>
      </c>
      <c r="AH99" s="24" t="s">
        <v>662</v>
      </c>
    </row>
    <row r="100" spans="1:34">
      <c r="A100" s="18">
        <v>99</v>
      </c>
      <c r="B100" s="3" t="s">
        <v>541</v>
      </c>
      <c r="C100" s="3" t="s">
        <v>539</v>
      </c>
      <c r="D100" s="4">
        <v>48</v>
      </c>
      <c r="E100" s="4">
        <v>32</v>
      </c>
      <c r="F100" s="4">
        <v>58</v>
      </c>
      <c r="G100" s="4">
        <v>65</v>
      </c>
      <c r="H100" s="4">
        <v>65</v>
      </c>
      <c r="I100" s="92"/>
      <c r="J100" s="92" t="s">
        <v>442</v>
      </c>
      <c r="K100" s="92" t="s">
        <v>442</v>
      </c>
      <c r="L100" s="92"/>
      <c r="M100" s="92"/>
      <c r="N100" s="92"/>
      <c r="O100" s="92" t="s">
        <v>442</v>
      </c>
      <c r="P100" s="92"/>
      <c r="Q100" s="92" t="s">
        <v>442</v>
      </c>
      <c r="R100" s="92"/>
      <c r="S100" s="92"/>
      <c r="T100" s="92"/>
      <c r="U100" s="92"/>
      <c r="V100" s="92" t="s">
        <v>442</v>
      </c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17">
        <f t="shared" si="3"/>
        <v>53.6</v>
      </c>
      <c r="AH100" s="24" t="s">
        <v>663</v>
      </c>
    </row>
    <row r="101" spans="1:34">
      <c r="A101" s="18">
        <v>100</v>
      </c>
      <c r="B101" s="3" t="s">
        <v>628</v>
      </c>
      <c r="C101" s="3" t="s">
        <v>428</v>
      </c>
      <c r="D101" s="4">
        <v>69</v>
      </c>
      <c r="E101" s="4">
        <v>31</v>
      </c>
      <c r="F101" s="4">
        <v>41</v>
      </c>
      <c r="G101" s="4">
        <v>38</v>
      </c>
      <c r="H101" s="4">
        <v>32</v>
      </c>
      <c r="I101" s="92"/>
      <c r="J101" s="92"/>
      <c r="K101" s="92"/>
      <c r="L101" s="92"/>
      <c r="M101" s="92"/>
      <c r="N101" s="92"/>
      <c r="O101" s="92" t="s">
        <v>442</v>
      </c>
      <c r="P101" s="92"/>
      <c r="Q101" s="92"/>
      <c r="R101" s="92" t="s">
        <v>442</v>
      </c>
      <c r="S101" s="92"/>
      <c r="T101" s="92"/>
      <c r="U101" s="92" t="s">
        <v>442</v>
      </c>
      <c r="V101" s="92" t="s">
        <v>442</v>
      </c>
      <c r="W101" s="92"/>
      <c r="X101" s="92"/>
      <c r="Y101" s="92"/>
      <c r="Z101" s="92"/>
      <c r="AA101" s="92" t="s">
        <v>442</v>
      </c>
      <c r="AB101" s="92"/>
      <c r="AC101" s="92"/>
      <c r="AD101" s="92"/>
      <c r="AE101" s="92"/>
      <c r="AF101" s="92" t="s">
        <v>442</v>
      </c>
      <c r="AG101" s="17">
        <f t="shared" si="3"/>
        <v>42.2</v>
      </c>
      <c r="AH101" s="24" t="s">
        <v>630</v>
      </c>
    </row>
    <row r="102" spans="1:34">
      <c r="A102" s="18">
        <v>101</v>
      </c>
      <c r="B102" s="22" t="s">
        <v>633</v>
      </c>
      <c r="C102" s="3" t="s">
        <v>511</v>
      </c>
      <c r="D102" s="9">
        <v>70</v>
      </c>
      <c r="E102" s="9">
        <v>35</v>
      </c>
      <c r="F102" s="9">
        <v>31</v>
      </c>
      <c r="G102" s="9">
        <v>28</v>
      </c>
      <c r="H102" s="9">
        <v>31</v>
      </c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2" t="s">
        <v>442</v>
      </c>
      <c r="T102" s="94"/>
      <c r="U102" s="92" t="s">
        <v>442</v>
      </c>
      <c r="V102" s="92" t="s">
        <v>442</v>
      </c>
      <c r="W102" s="94"/>
      <c r="X102" s="94"/>
      <c r="Y102" s="94"/>
      <c r="Z102" s="94"/>
      <c r="AA102" s="94"/>
      <c r="AB102" s="94"/>
      <c r="AC102" s="94"/>
      <c r="AD102" s="92" t="s">
        <v>442</v>
      </c>
      <c r="AE102" s="92" t="s">
        <v>442</v>
      </c>
      <c r="AF102" s="92" t="s">
        <v>442</v>
      </c>
      <c r="AG102" s="9">
        <f t="shared" si="3"/>
        <v>39</v>
      </c>
      <c r="AH102" s="24" t="s">
        <v>634</v>
      </c>
    </row>
    <row r="103" spans="1:34">
      <c r="A103" s="18">
        <v>102</v>
      </c>
      <c r="B103" s="22" t="s">
        <v>622</v>
      </c>
      <c r="C103" s="3" t="s">
        <v>512</v>
      </c>
      <c r="D103" s="9">
        <v>65</v>
      </c>
      <c r="E103" s="9">
        <v>52</v>
      </c>
      <c r="F103" s="9">
        <v>45</v>
      </c>
      <c r="G103" s="9">
        <v>40</v>
      </c>
      <c r="H103" s="9">
        <v>39</v>
      </c>
      <c r="I103" s="94"/>
      <c r="J103" s="94"/>
      <c r="K103" s="94"/>
      <c r="L103" s="94"/>
      <c r="M103" s="94"/>
      <c r="N103" s="94"/>
      <c r="O103" s="94"/>
      <c r="P103" s="94"/>
      <c r="Q103" s="94"/>
      <c r="R103" s="92" t="s">
        <v>442</v>
      </c>
      <c r="S103" s="94"/>
      <c r="T103" s="94"/>
      <c r="U103" s="94"/>
      <c r="V103" s="92" t="s">
        <v>442</v>
      </c>
      <c r="W103" s="94"/>
      <c r="X103" s="94"/>
      <c r="Y103" s="94"/>
      <c r="Z103" s="94"/>
      <c r="AA103" s="92" t="s">
        <v>442</v>
      </c>
      <c r="AB103" s="94"/>
      <c r="AC103" s="94"/>
      <c r="AD103" s="94"/>
      <c r="AE103" s="92" t="s">
        <v>442</v>
      </c>
      <c r="AF103" s="94"/>
      <c r="AG103" s="9">
        <f t="shared" si="3"/>
        <v>48.2</v>
      </c>
      <c r="AH103" s="24"/>
    </row>
    <row r="104" spans="1:34">
      <c r="A104" s="18">
        <v>103</v>
      </c>
      <c r="B104" s="22" t="s">
        <v>671</v>
      </c>
      <c r="C104" s="3" t="s">
        <v>513</v>
      </c>
      <c r="D104" s="9">
        <v>38</v>
      </c>
      <c r="E104" s="9">
        <v>25</v>
      </c>
      <c r="F104" s="9">
        <v>62</v>
      </c>
      <c r="G104" s="9">
        <v>38</v>
      </c>
      <c r="H104" s="9">
        <v>50</v>
      </c>
      <c r="I104" s="94"/>
      <c r="J104" s="92" t="s">
        <v>442</v>
      </c>
      <c r="K104" s="94"/>
      <c r="L104" s="94"/>
      <c r="M104" s="94"/>
      <c r="N104" s="94"/>
      <c r="O104" s="92" t="s">
        <v>442</v>
      </c>
      <c r="P104" s="92" t="s">
        <v>442</v>
      </c>
      <c r="Q104" s="92" t="s">
        <v>442</v>
      </c>
      <c r="R104" s="94"/>
      <c r="S104" s="94"/>
      <c r="T104" s="94"/>
      <c r="U104" s="92" t="s">
        <v>442</v>
      </c>
      <c r="V104" s="92" t="s">
        <v>442</v>
      </c>
      <c r="W104" s="94"/>
      <c r="X104" s="94"/>
      <c r="Y104" s="94"/>
      <c r="Z104" s="94"/>
      <c r="AA104" s="92" t="s">
        <v>442</v>
      </c>
      <c r="AB104" s="94"/>
      <c r="AC104" s="94"/>
      <c r="AD104" s="94"/>
      <c r="AE104" s="94"/>
      <c r="AF104" s="92" t="s">
        <v>442</v>
      </c>
      <c r="AG104" s="9">
        <f t="shared" si="3"/>
        <v>42.6</v>
      </c>
      <c r="AH104" s="24" t="s">
        <v>672</v>
      </c>
    </row>
    <row r="105" spans="1:34">
      <c r="A105" s="18">
        <v>104</v>
      </c>
      <c r="B105" s="22" t="s">
        <v>667</v>
      </c>
      <c r="C105" s="3" t="s">
        <v>514</v>
      </c>
      <c r="D105" s="9">
        <v>67</v>
      </c>
      <c r="E105" s="9">
        <v>61</v>
      </c>
      <c r="F105" s="9">
        <v>32</v>
      </c>
      <c r="G105" s="9">
        <v>21</v>
      </c>
      <c r="H105" s="9">
        <v>45</v>
      </c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">
        <f t="shared" si="3"/>
        <v>45.2</v>
      </c>
      <c r="AH105" s="24"/>
    </row>
    <row r="106" spans="1:34">
      <c r="A106" s="18">
        <v>105</v>
      </c>
      <c r="B106" s="22" t="s">
        <v>655</v>
      </c>
      <c r="C106" s="3" t="s">
        <v>515</v>
      </c>
      <c r="D106" s="9">
        <v>65</v>
      </c>
      <c r="E106" s="9">
        <v>47</v>
      </c>
      <c r="F106" s="9">
        <v>30</v>
      </c>
      <c r="G106" s="9">
        <v>26</v>
      </c>
      <c r="H106" s="9">
        <v>30</v>
      </c>
      <c r="I106" s="94"/>
      <c r="J106" s="94"/>
      <c r="K106" s="94"/>
      <c r="L106" s="94"/>
      <c r="M106" s="94"/>
      <c r="N106" s="94"/>
      <c r="O106" s="94"/>
      <c r="P106" s="94"/>
      <c r="Q106" s="94"/>
      <c r="R106" s="92" t="s">
        <v>442</v>
      </c>
      <c r="S106" s="94"/>
      <c r="T106" s="94"/>
      <c r="U106" s="94"/>
      <c r="V106" s="92" t="s">
        <v>442</v>
      </c>
      <c r="W106" s="94"/>
      <c r="X106" s="94"/>
      <c r="Y106" s="94"/>
      <c r="Z106" s="94"/>
      <c r="AA106" s="94"/>
      <c r="AB106" s="94"/>
      <c r="AC106" s="94"/>
      <c r="AD106" s="94"/>
      <c r="AE106" s="92" t="s">
        <v>442</v>
      </c>
      <c r="AF106" s="94"/>
      <c r="AG106" s="9">
        <f t="shared" si="3"/>
        <v>39.6</v>
      </c>
      <c r="AH106" s="24" t="s">
        <v>656</v>
      </c>
    </row>
    <row r="107" spans="1:34">
      <c r="A107" s="18">
        <v>106</v>
      </c>
      <c r="B107" s="22" t="s">
        <v>623</v>
      </c>
      <c r="C107" s="3" t="s">
        <v>516</v>
      </c>
      <c r="D107" s="9">
        <v>62</v>
      </c>
      <c r="E107" s="9">
        <v>43</v>
      </c>
      <c r="F107" s="9">
        <v>34</v>
      </c>
      <c r="G107" s="9">
        <v>31</v>
      </c>
      <c r="H107" s="9">
        <v>42</v>
      </c>
      <c r="I107" s="94"/>
      <c r="J107" s="94"/>
      <c r="K107" s="94"/>
      <c r="L107" s="94"/>
      <c r="M107" s="94"/>
      <c r="N107" s="94"/>
      <c r="O107" s="94"/>
      <c r="P107" s="94"/>
      <c r="Q107" s="94"/>
      <c r="R107" s="92" t="s">
        <v>442</v>
      </c>
      <c r="S107" s="94"/>
      <c r="T107" s="94"/>
      <c r="U107" s="94"/>
      <c r="V107" s="92" t="s">
        <v>442</v>
      </c>
      <c r="W107" s="94"/>
      <c r="X107" s="94"/>
      <c r="Y107" s="94"/>
      <c r="Z107" s="94"/>
      <c r="AA107" s="92" t="s">
        <v>442</v>
      </c>
      <c r="AB107" s="94"/>
      <c r="AC107" s="94"/>
      <c r="AD107" s="94"/>
      <c r="AE107" s="94"/>
      <c r="AF107" s="92" t="s">
        <v>442</v>
      </c>
      <c r="AG107" s="9">
        <f t="shared" si="3"/>
        <v>42.4</v>
      </c>
      <c r="AH107" s="24"/>
    </row>
    <row r="108" spans="1:34">
      <c r="A108" s="18">
        <v>107</v>
      </c>
      <c r="B108" s="22" t="s">
        <v>660</v>
      </c>
      <c r="C108" s="3" t="s">
        <v>517</v>
      </c>
      <c r="D108" s="9">
        <v>41</v>
      </c>
      <c r="E108" s="9">
        <v>42</v>
      </c>
      <c r="F108" s="9">
        <v>55</v>
      </c>
      <c r="G108" s="9">
        <v>58</v>
      </c>
      <c r="H108" s="9">
        <v>52</v>
      </c>
      <c r="I108" s="94"/>
      <c r="J108" s="92" t="s">
        <v>442</v>
      </c>
      <c r="K108" s="92" t="s">
        <v>442</v>
      </c>
      <c r="L108" s="94"/>
      <c r="M108" s="94"/>
      <c r="N108" s="94"/>
      <c r="O108" s="94"/>
      <c r="P108" s="94"/>
      <c r="Q108" s="92" t="s">
        <v>442</v>
      </c>
      <c r="R108" s="94"/>
      <c r="S108" s="94"/>
      <c r="T108" s="94"/>
      <c r="U108" s="92" t="s">
        <v>442</v>
      </c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">
        <f t="shared" si="3"/>
        <v>49.6</v>
      </c>
      <c r="AH108" s="24" t="s">
        <v>661</v>
      </c>
    </row>
    <row r="109" spans="1:34">
      <c r="A109" s="18">
        <v>108</v>
      </c>
      <c r="B109" s="22" t="s">
        <v>649</v>
      </c>
      <c r="C109" s="3" t="s">
        <v>536</v>
      </c>
      <c r="D109" s="9">
        <v>34</v>
      </c>
      <c r="E109" s="9">
        <v>41</v>
      </c>
      <c r="F109" s="9">
        <v>51</v>
      </c>
      <c r="G109" s="9">
        <v>59</v>
      </c>
      <c r="H109" s="9">
        <v>48</v>
      </c>
      <c r="I109" s="94"/>
      <c r="J109" s="94"/>
      <c r="K109" s="94"/>
      <c r="L109" s="94"/>
      <c r="M109" s="94"/>
      <c r="N109" s="94"/>
      <c r="O109" s="92" t="s">
        <v>442</v>
      </c>
      <c r="P109" s="92" t="s">
        <v>442</v>
      </c>
      <c r="Q109" s="94"/>
      <c r="R109" s="94"/>
      <c r="S109" s="94"/>
      <c r="T109" s="94"/>
      <c r="U109" s="92" t="s">
        <v>442</v>
      </c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">
        <f t="shared" si="3"/>
        <v>46.6</v>
      </c>
      <c r="AH109" s="24" t="s">
        <v>648</v>
      </c>
    </row>
    <row r="110" spans="1:34">
      <c r="A110" s="18">
        <v>109</v>
      </c>
      <c r="B110" s="22" t="s">
        <v>613</v>
      </c>
      <c r="C110" s="3" t="s">
        <v>518</v>
      </c>
      <c r="D110" s="9">
        <v>37</v>
      </c>
      <c r="E110" s="9">
        <v>31</v>
      </c>
      <c r="F110" s="9">
        <v>52</v>
      </c>
      <c r="G110" s="9">
        <v>49</v>
      </c>
      <c r="H110" s="9">
        <v>59</v>
      </c>
      <c r="I110" s="94"/>
      <c r="J110" s="94"/>
      <c r="K110" s="94"/>
      <c r="L110" s="92" t="s">
        <v>442</v>
      </c>
      <c r="M110" s="94"/>
      <c r="N110" s="94"/>
      <c r="O110" s="94"/>
      <c r="P110" s="94"/>
      <c r="Q110" s="94"/>
      <c r="R110" s="94"/>
      <c r="S110" s="94"/>
      <c r="T110" s="94"/>
      <c r="U110" s="92" t="s">
        <v>442</v>
      </c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">
        <f t="shared" si="3"/>
        <v>45.6</v>
      </c>
      <c r="AH110" s="24"/>
    </row>
    <row r="111" spans="1:34">
      <c r="A111" s="18">
        <v>110</v>
      </c>
      <c r="B111" s="22" t="s">
        <v>647</v>
      </c>
      <c r="C111" s="3" t="s">
        <v>537</v>
      </c>
      <c r="D111" s="9">
        <v>38</v>
      </c>
      <c r="E111" s="9">
        <v>57</v>
      </c>
      <c r="F111" s="9">
        <v>48</v>
      </c>
      <c r="G111" s="9">
        <v>53</v>
      </c>
      <c r="H111" s="9">
        <v>42</v>
      </c>
      <c r="I111" s="94"/>
      <c r="J111" s="94"/>
      <c r="K111" s="94"/>
      <c r="L111" s="94"/>
      <c r="M111" s="94"/>
      <c r="N111" s="94"/>
      <c r="O111" s="94"/>
      <c r="P111" s="92" t="s">
        <v>442</v>
      </c>
      <c r="Q111" s="94"/>
      <c r="R111" s="94"/>
      <c r="S111" s="94"/>
      <c r="T111" s="94"/>
      <c r="U111" s="92" t="s">
        <v>442</v>
      </c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2" t="s">
        <v>442</v>
      </c>
      <c r="AG111" s="9">
        <f t="shared" si="3"/>
        <v>47.6</v>
      </c>
      <c r="AH111" s="24" t="s">
        <v>648</v>
      </c>
    </row>
    <row r="112" spans="1:34">
      <c r="A112" s="18">
        <v>111</v>
      </c>
      <c r="B112" s="22" t="s">
        <v>673</v>
      </c>
      <c r="C112" s="3" t="s">
        <v>519</v>
      </c>
      <c r="D112" s="9">
        <v>36</v>
      </c>
      <c r="E112" s="9">
        <v>43</v>
      </c>
      <c r="F112" s="9">
        <v>58</v>
      </c>
      <c r="G112" s="9">
        <v>27</v>
      </c>
      <c r="H112" s="9">
        <v>50</v>
      </c>
      <c r="I112" s="94"/>
      <c r="J112" s="92" t="s">
        <v>442</v>
      </c>
      <c r="K112" s="94"/>
      <c r="L112" s="94"/>
      <c r="M112" s="94"/>
      <c r="N112" s="94"/>
      <c r="O112" s="94"/>
      <c r="P112" s="92" t="s">
        <v>442</v>
      </c>
      <c r="Q112" s="92" t="s">
        <v>442</v>
      </c>
      <c r="R112" s="94"/>
      <c r="S112" s="94"/>
      <c r="T112" s="94"/>
      <c r="U112" s="94"/>
      <c r="V112" s="92" t="s">
        <v>442</v>
      </c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">
        <f t="shared" si="3"/>
        <v>42.8</v>
      </c>
      <c r="AH112" s="24" t="s">
        <v>674</v>
      </c>
    </row>
    <row r="113" spans="1:34">
      <c r="A113" s="18">
        <v>112</v>
      </c>
      <c r="B113" s="22" t="s">
        <v>618</v>
      </c>
      <c r="C113" s="3" t="s">
        <v>520</v>
      </c>
      <c r="D113" s="9">
        <v>25</v>
      </c>
      <c r="E113" s="9">
        <v>28</v>
      </c>
      <c r="F113" s="9">
        <v>32</v>
      </c>
      <c r="G113" s="9">
        <v>50</v>
      </c>
      <c r="H113" s="9">
        <v>56</v>
      </c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">
        <f t="shared" si="3"/>
        <v>38.200000000000003</v>
      </c>
      <c r="AH113" s="24"/>
    </row>
    <row r="114" spans="1:34">
      <c r="A114" s="18">
        <v>113</v>
      </c>
      <c r="B114" s="22" t="s">
        <v>637</v>
      </c>
      <c r="C114" s="3" t="s">
        <v>521</v>
      </c>
      <c r="D114" s="9">
        <v>45</v>
      </c>
      <c r="E114" s="9">
        <v>43</v>
      </c>
      <c r="F114" s="9">
        <v>38</v>
      </c>
      <c r="G114" s="9">
        <v>44</v>
      </c>
      <c r="H114" s="9">
        <v>42</v>
      </c>
      <c r="I114" s="94"/>
      <c r="J114" s="92" t="s">
        <v>442</v>
      </c>
      <c r="K114" s="92" t="s">
        <v>442</v>
      </c>
      <c r="L114" s="94"/>
      <c r="M114" s="94"/>
      <c r="N114" s="94"/>
      <c r="O114" s="92" t="s">
        <v>442</v>
      </c>
      <c r="P114" s="94"/>
      <c r="Q114" s="92" t="s">
        <v>442</v>
      </c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2" t="s">
        <v>442</v>
      </c>
      <c r="AG114" s="9">
        <f t="shared" si="3"/>
        <v>42.4</v>
      </c>
      <c r="AH114" s="24" t="s">
        <v>661</v>
      </c>
    </row>
    <row r="115" spans="1:34">
      <c r="A115" s="18">
        <v>114</v>
      </c>
      <c r="B115" s="22" t="s">
        <v>624</v>
      </c>
      <c r="C115" s="3" t="s">
        <v>522</v>
      </c>
      <c r="D115" s="9">
        <v>29</v>
      </c>
      <c r="E115" s="9">
        <v>48</v>
      </c>
      <c r="F115" s="9">
        <v>36</v>
      </c>
      <c r="G115" s="9">
        <v>30</v>
      </c>
      <c r="H115" s="9">
        <v>33</v>
      </c>
      <c r="I115" s="94"/>
      <c r="J115" s="92" t="s">
        <v>442</v>
      </c>
      <c r="K115" s="94"/>
      <c r="L115" s="94"/>
      <c r="M115" s="94"/>
      <c r="N115" s="94"/>
      <c r="O115" s="92" t="s">
        <v>442</v>
      </c>
      <c r="P115" s="92" t="s">
        <v>442</v>
      </c>
      <c r="Q115" s="94"/>
      <c r="R115" s="94"/>
      <c r="S115" s="94"/>
      <c r="T115" s="94"/>
      <c r="U115" s="92" t="s">
        <v>442</v>
      </c>
      <c r="V115" s="92" t="s">
        <v>442</v>
      </c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">
        <f t="shared" si="3"/>
        <v>35.200000000000003</v>
      </c>
      <c r="AH115" s="24" t="s">
        <v>626</v>
      </c>
    </row>
    <row r="116" spans="1:34">
      <c r="A116" s="18">
        <v>115</v>
      </c>
      <c r="B116" s="22" t="s">
        <v>612</v>
      </c>
      <c r="C116" s="3" t="s">
        <v>538</v>
      </c>
      <c r="D116" s="9">
        <v>42</v>
      </c>
      <c r="E116" s="9">
        <v>37</v>
      </c>
      <c r="F116" s="9">
        <v>23</v>
      </c>
      <c r="G116" s="9">
        <v>20</v>
      </c>
      <c r="H116" s="9">
        <v>30</v>
      </c>
      <c r="I116" s="94"/>
      <c r="J116" s="94"/>
      <c r="K116" s="94"/>
      <c r="L116" s="92" t="s">
        <v>442</v>
      </c>
      <c r="M116" s="94"/>
      <c r="N116" s="94"/>
      <c r="O116" s="94"/>
      <c r="P116" s="94"/>
      <c r="Q116" s="94"/>
      <c r="R116" s="94"/>
      <c r="S116" s="94"/>
      <c r="T116" s="94"/>
      <c r="U116" s="92" t="s">
        <v>442</v>
      </c>
      <c r="V116" s="94"/>
      <c r="W116" s="94"/>
      <c r="X116" s="94"/>
      <c r="Y116" s="94"/>
      <c r="Z116" s="94"/>
      <c r="AA116" s="94"/>
      <c r="AB116" s="94"/>
      <c r="AC116" s="94"/>
      <c r="AD116" s="92" t="s">
        <v>442</v>
      </c>
      <c r="AE116" s="94"/>
      <c r="AF116" s="94"/>
      <c r="AG116" s="9">
        <f t="shared" si="3"/>
        <v>30.4</v>
      </c>
      <c r="AH116" s="24"/>
    </row>
    <row r="117" spans="1:34">
      <c r="A117" s="18">
        <v>116</v>
      </c>
      <c r="B117" s="22" t="s">
        <v>668</v>
      </c>
      <c r="C117" s="3" t="s">
        <v>523</v>
      </c>
      <c r="D117" s="9">
        <v>29</v>
      </c>
      <c r="E117" s="9">
        <v>28</v>
      </c>
      <c r="F117" s="9">
        <v>31</v>
      </c>
      <c r="G117" s="9">
        <v>23</v>
      </c>
      <c r="H117" s="9">
        <v>39</v>
      </c>
      <c r="I117" s="94"/>
      <c r="J117" s="92" t="s">
        <v>442</v>
      </c>
      <c r="K117" s="94"/>
      <c r="L117" s="94"/>
      <c r="M117" s="94"/>
      <c r="N117" s="94"/>
      <c r="O117" s="94"/>
      <c r="P117" s="92" t="s">
        <v>442</v>
      </c>
      <c r="Q117" s="92" t="s">
        <v>442</v>
      </c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">
        <f t="shared" si="3"/>
        <v>30</v>
      </c>
      <c r="AH117" s="24" t="s">
        <v>669</v>
      </c>
    </row>
    <row r="118" spans="1:34">
      <c r="A118" s="18">
        <v>117</v>
      </c>
      <c r="B118" s="22"/>
      <c r="C118" s="3" t="s">
        <v>524</v>
      </c>
      <c r="D118" s="9">
        <v>23</v>
      </c>
      <c r="E118" s="9">
        <v>21</v>
      </c>
      <c r="F118" s="9">
        <v>24</v>
      </c>
      <c r="G118" s="9">
        <v>25</v>
      </c>
      <c r="H118" s="9">
        <v>22</v>
      </c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2" t="s">
        <v>442</v>
      </c>
      <c r="AB118" s="94"/>
      <c r="AC118" s="94"/>
      <c r="AD118" s="94"/>
      <c r="AE118" s="94"/>
      <c r="AF118" s="94"/>
      <c r="AG118" s="9">
        <f t="shared" si="3"/>
        <v>23</v>
      </c>
      <c r="AH118" s="24"/>
    </row>
  </sheetData>
  <autoFilter ref="A1:AH1" xr:uid="{1DACE6DB-3700-4C3E-9904-1F9AFFE4B240}">
    <sortState xmlns:xlrd2="http://schemas.microsoft.com/office/spreadsheetml/2017/richdata2" ref="A2:AH118">
      <sortCondition ref="A1"/>
    </sortState>
  </autoFilter>
  <phoneticPr fontId="1" type="noConversion"/>
  <conditionalFormatting sqref="D2:H118 AG2:AG118">
    <cfRule type="cellIs" dxfId="7" priority="5" stopIfTrue="1" operator="greaterThanOrEqual">
      <formula>90</formula>
    </cfRule>
    <cfRule type="cellIs" dxfId="6" priority="6" stopIfTrue="1" operator="greaterThanOrEqual">
      <formula>80</formula>
    </cfRule>
    <cfRule type="cellIs" dxfId="5" priority="7" stopIfTrue="1" operator="greaterThanOrEqual">
      <formula>70</formula>
    </cfRule>
  </conditionalFormatting>
  <conditionalFormatting sqref="I2:AF1188">
    <cfRule type="cellIs" dxfId="4" priority="1" operator="equal">
      <formula>"○"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5CE8-1D03-44AA-9E64-2D5E2FCDCF10}">
  <dimension ref="A2:N72"/>
  <sheetViews>
    <sheetView workbookViewId="0"/>
  </sheetViews>
  <sheetFormatPr defaultRowHeight="13.5"/>
  <cols>
    <col min="1" max="1" width="9.109375" style="32" bestFit="1" customWidth="1"/>
    <col min="2" max="2" width="95.5546875" style="32" customWidth="1"/>
    <col min="3" max="3" width="2.77734375" style="32" customWidth="1"/>
    <col min="4" max="4" width="4.88671875" style="32" bestFit="1" customWidth="1"/>
    <col min="5" max="5" width="2.6640625" style="32" customWidth="1"/>
    <col min="6" max="8" width="7.77734375" style="32" customWidth="1"/>
    <col min="9" max="9" width="1.77734375" style="32" customWidth="1"/>
    <col min="10" max="10" width="23.77734375" style="32" customWidth="1"/>
    <col min="11" max="11" width="4.77734375" style="32" customWidth="1"/>
    <col min="12" max="12" width="1.77734375" style="32" customWidth="1"/>
    <col min="13" max="13" width="25.109375" style="32" customWidth="1"/>
    <col min="14" max="14" width="4.77734375" style="32" customWidth="1"/>
    <col min="15" max="16384" width="8.88671875" style="32"/>
  </cols>
  <sheetData>
    <row r="2" spans="1:14" s="30" customFormat="1" ht="21" customHeight="1">
      <c r="A2" s="83" t="s">
        <v>767</v>
      </c>
      <c r="B2" s="83"/>
      <c r="D2" s="84"/>
      <c r="E2" s="84"/>
      <c r="F2" s="84" t="s">
        <v>768</v>
      </c>
      <c r="G2" s="84"/>
      <c r="H2" s="84"/>
      <c r="I2" s="32"/>
      <c r="J2" s="84" t="s">
        <v>769</v>
      </c>
      <c r="K2" s="84"/>
      <c r="L2" s="32"/>
      <c r="M2" s="78" t="s">
        <v>770</v>
      </c>
      <c r="N2" s="79"/>
    </row>
    <row r="3" spans="1:14" s="30" customFormat="1" ht="21" customHeight="1">
      <c r="A3" s="33" t="s">
        <v>771</v>
      </c>
      <c r="B3" s="34"/>
      <c r="D3" s="84"/>
      <c r="E3" s="84"/>
      <c r="F3" s="35" t="s">
        <v>772</v>
      </c>
      <c r="G3" s="31" t="s">
        <v>773</v>
      </c>
      <c r="H3" s="31" t="s">
        <v>774</v>
      </c>
      <c r="I3" s="32"/>
      <c r="J3" s="36" t="s">
        <v>775</v>
      </c>
      <c r="K3" s="37">
        <v>1</v>
      </c>
      <c r="L3" s="38"/>
      <c r="M3" s="39" t="s">
        <v>776</v>
      </c>
      <c r="N3" s="40">
        <v>0.25</v>
      </c>
    </row>
    <row r="4" spans="1:14" s="30" customFormat="1" ht="21" customHeight="1">
      <c r="A4" s="33" t="s">
        <v>777</v>
      </c>
      <c r="B4" s="41" t="s">
        <v>778</v>
      </c>
      <c r="D4" s="80" t="s">
        <v>779</v>
      </c>
      <c r="E4" s="31">
        <v>4</v>
      </c>
      <c r="F4" s="31" t="s">
        <v>780</v>
      </c>
      <c r="G4" s="31">
        <v>1.1399999999999999</v>
      </c>
      <c r="H4" s="31" t="s">
        <v>780</v>
      </c>
      <c r="I4" s="32"/>
      <c r="J4" s="42" t="s">
        <v>781</v>
      </c>
      <c r="K4" s="43">
        <v>1.1000000000000001</v>
      </c>
      <c r="L4" s="38"/>
      <c r="M4" s="39" t="s">
        <v>782</v>
      </c>
      <c r="N4" s="40">
        <v>0.67</v>
      </c>
    </row>
    <row r="5" spans="1:14" s="30" customFormat="1" ht="21" customHeight="1">
      <c r="A5" s="33" t="s">
        <v>783</v>
      </c>
      <c r="B5" s="41" t="s">
        <v>784</v>
      </c>
      <c r="D5" s="80"/>
      <c r="E5" s="31">
        <v>3</v>
      </c>
      <c r="F5" s="44">
        <v>1</v>
      </c>
      <c r="G5" s="31">
        <v>1.5</v>
      </c>
      <c r="H5" s="31">
        <v>1.84</v>
      </c>
      <c r="I5" s="32"/>
      <c r="J5" s="42" t="s">
        <v>785</v>
      </c>
      <c r="K5" s="43">
        <v>1.6</v>
      </c>
      <c r="L5" s="38"/>
      <c r="M5" s="45" t="s">
        <v>786</v>
      </c>
      <c r="N5" s="46">
        <v>1</v>
      </c>
    </row>
    <row r="6" spans="1:14" s="30" customFormat="1" ht="21" customHeight="1">
      <c r="A6" s="33" t="s">
        <v>787</v>
      </c>
      <c r="B6" s="41" t="s">
        <v>788</v>
      </c>
      <c r="D6" s="80"/>
      <c r="E6" s="31">
        <v>2</v>
      </c>
      <c r="F6" s="31">
        <v>1.3</v>
      </c>
      <c r="G6" s="31">
        <v>1.84</v>
      </c>
      <c r="H6" s="31">
        <v>2.5</v>
      </c>
      <c r="I6" s="32"/>
      <c r="J6" s="42" t="s">
        <v>789</v>
      </c>
      <c r="K6" s="43">
        <v>0.55000000000000004</v>
      </c>
      <c r="L6" s="38"/>
      <c r="M6" s="39" t="s">
        <v>790</v>
      </c>
      <c r="N6" s="40">
        <v>1.45</v>
      </c>
    </row>
    <row r="7" spans="1:14" ht="16.5">
      <c r="A7" s="47"/>
      <c r="D7" s="80"/>
      <c r="E7" s="31">
        <v>1</v>
      </c>
      <c r="F7" s="48">
        <v>2</v>
      </c>
      <c r="G7" s="31">
        <v>2.5</v>
      </c>
      <c r="H7" s="31">
        <v>3.7</v>
      </c>
      <c r="J7" s="42" t="s">
        <v>791</v>
      </c>
      <c r="K7" s="43">
        <v>0.67</v>
      </c>
      <c r="L7" s="38"/>
      <c r="M7" s="39" t="s">
        <v>792</v>
      </c>
      <c r="N7" s="40">
        <v>1.3</v>
      </c>
    </row>
    <row r="8" spans="1:14" ht="21" customHeight="1">
      <c r="A8" s="85" t="s">
        <v>793</v>
      </c>
      <c r="B8" s="86"/>
      <c r="D8" s="49"/>
      <c r="E8" s="50"/>
      <c r="J8" s="51" t="s">
        <v>437</v>
      </c>
      <c r="K8" s="52">
        <v>1</v>
      </c>
      <c r="L8" s="38"/>
      <c r="M8" s="53" t="s">
        <v>794</v>
      </c>
      <c r="N8" s="54">
        <v>2.2000000000000002</v>
      </c>
    </row>
    <row r="9" spans="1:14" ht="21" customHeight="1">
      <c r="A9" s="55" t="s">
        <v>0</v>
      </c>
      <c r="B9" s="56" t="s">
        <v>795</v>
      </c>
      <c r="F9" s="87" t="s">
        <v>796</v>
      </c>
      <c r="G9" s="88"/>
      <c r="J9" s="39" t="s">
        <v>797</v>
      </c>
      <c r="K9" s="43">
        <v>0.9</v>
      </c>
      <c r="M9" s="57"/>
      <c r="N9" s="57"/>
    </row>
    <row r="10" spans="1:14" ht="21" customHeight="1">
      <c r="A10" s="58" t="s">
        <v>1</v>
      </c>
      <c r="B10" s="59" t="s">
        <v>798</v>
      </c>
      <c r="F10" s="60"/>
      <c r="G10" s="31" t="s">
        <v>799</v>
      </c>
      <c r="J10" s="39" t="s">
        <v>432</v>
      </c>
      <c r="K10" s="43">
        <v>0.67</v>
      </c>
      <c r="M10" s="57"/>
      <c r="N10" s="57"/>
    </row>
    <row r="11" spans="1:14" ht="21" customHeight="1">
      <c r="A11" s="61" t="s">
        <v>2</v>
      </c>
      <c r="B11" s="56" t="s">
        <v>795</v>
      </c>
      <c r="F11" s="62" t="s">
        <v>800</v>
      </c>
      <c r="G11" s="80">
        <v>1</v>
      </c>
      <c r="J11" s="39" t="s">
        <v>433</v>
      </c>
      <c r="K11" s="43">
        <v>0.55000000000000004</v>
      </c>
      <c r="M11" s="57"/>
      <c r="N11" s="57"/>
    </row>
    <row r="12" spans="1:14" ht="21" customHeight="1">
      <c r="A12" s="63" t="s">
        <v>3</v>
      </c>
      <c r="B12" s="59" t="s">
        <v>801</v>
      </c>
      <c r="F12" s="64" t="s">
        <v>802</v>
      </c>
      <c r="G12" s="80"/>
      <c r="J12" s="39" t="s">
        <v>434</v>
      </c>
      <c r="K12" s="43">
        <v>0.8</v>
      </c>
      <c r="M12" s="57"/>
      <c r="N12" s="57"/>
    </row>
    <row r="13" spans="1:14" ht="21" customHeight="1">
      <c r="A13" s="55" t="s">
        <v>4</v>
      </c>
      <c r="B13" s="59" t="s">
        <v>803</v>
      </c>
      <c r="F13" s="65" t="s">
        <v>804</v>
      </c>
      <c r="G13" s="80"/>
      <c r="J13" s="39" t="s">
        <v>435</v>
      </c>
      <c r="K13" s="43">
        <v>1.7</v>
      </c>
      <c r="M13" s="57"/>
      <c r="N13" s="57"/>
    </row>
    <row r="14" spans="1:14" ht="21" customHeight="1">
      <c r="A14" s="55" t="s">
        <v>5</v>
      </c>
      <c r="B14" s="59" t="s">
        <v>805</v>
      </c>
      <c r="F14" s="66" t="s">
        <v>806</v>
      </c>
      <c r="G14" s="55">
        <v>1.2</v>
      </c>
      <c r="J14" s="39" t="s">
        <v>436</v>
      </c>
      <c r="K14" s="43">
        <v>2</v>
      </c>
      <c r="M14" s="57"/>
      <c r="N14" s="57"/>
    </row>
    <row r="15" spans="1:14" ht="21" customHeight="1">
      <c r="A15" s="63" t="s">
        <v>6</v>
      </c>
      <c r="B15" s="59" t="s">
        <v>807</v>
      </c>
      <c r="F15" s="66" t="s">
        <v>808</v>
      </c>
      <c r="G15" s="55">
        <v>1.8</v>
      </c>
      <c r="J15" s="39" t="s">
        <v>438</v>
      </c>
      <c r="K15" s="43">
        <v>1.3</v>
      </c>
      <c r="M15" s="57"/>
      <c r="N15" s="57"/>
    </row>
    <row r="16" spans="1:14" ht="21" customHeight="1">
      <c r="A16" s="55" t="s">
        <v>7</v>
      </c>
      <c r="B16" s="56" t="s">
        <v>809</v>
      </c>
      <c r="J16" s="39" t="s">
        <v>439</v>
      </c>
      <c r="K16" s="43">
        <v>1.5</v>
      </c>
      <c r="M16" s="57"/>
      <c r="N16" s="57"/>
    </row>
    <row r="17" spans="1:14" ht="21" customHeight="1">
      <c r="A17" s="55" t="s">
        <v>8</v>
      </c>
      <c r="B17" s="59" t="s">
        <v>810</v>
      </c>
      <c r="J17" s="67" t="s">
        <v>440</v>
      </c>
      <c r="K17" s="68">
        <v>3.1</v>
      </c>
      <c r="M17" s="57"/>
      <c r="N17" s="57"/>
    </row>
    <row r="18" spans="1:14" ht="21" customHeight="1">
      <c r="A18" s="61" t="s">
        <v>9</v>
      </c>
      <c r="B18" s="59" t="s">
        <v>811</v>
      </c>
      <c r="J18" s="39" t="s">
        <v>441</v>
      </c>
      <c r="K18" s="43">
        <v>2.6</v>
      </c>
      <c r="M18" s="57"/>
      <c r="N18" s="57"/>
    </row>
    <row r="19" spans="1:14" ht="21" customHeight="1">
      <c r="A19" s="61" t="s">
        <v>10</v>
      </c>
      <c r="B19" s="59" t="s">
        <v>812</v>
      </c>
    </row>
    <row r="20" spans="1:14" ht="21" customHeight="1">
      <c r="A20" s="61" t="s">
        <v>11</v>
      </c>
      <c r="B20" s="59" t="s">
        <v>813</v>
      </c>
    </row>
    <row r="21" spans="1:14" ht="21" customHeight="1">
      <c r="A21" s="63" t="s">
        <v>12</v>
      </c>
      <c r="B21" s="59" t="s">
        <v>814</v>
      </c>
    </row>
    <row r="22" spans="1:14" ht="21" customHeight="1">
      <c r="A22" s="55" t="s">
        <v>13</v>
      </c>
      <c r="B22" s="59" t="s">
        <v>815</v>
      </c>
    </row>
    <row r="23" spans="1:14" ht="49.5">
      <c r="A23" s="61" t="s">
        <v>14</v>
      </c>
      <c r="B23" s="69" t="s">
        <v>816</v>
      </c>
    </row>
    <row r="24" spans="1:14" ht="21" customHeight="1">
      <c r="A24" s="58" t="s">
        <v>15</v>
      </c>
      <c r="B24" s="59" t="s">
        <v>817</v>
      </c>
    </row>
    <row r="25" spans="1:14" ht="21" customHeight="1">
      <c r="A25" s="55" t="s">
        <v>16</v>
      </c>
      <c r="B25" s="59" t="s">
        <v>818</v>
      </c>
    </row>
    <row r="26" spans="1:14" ht="21" customHeight="1">
      <c r="A26" s="55" t="s">
        <v>17</v>
      </c>
      <c r="B26" s="59" t="s">
        <v>819</v>
      </c>
    </row>
    <row r="27" spans="1:14" ht="21" customHeight="1">
      <c r="A27" s="55" t="s">
        <v>18</v>
      </c>
      <c r="B27" s="59" t="s">
        <v>820</v>
      </c>
    </row>
    <row r="28" spans="1:14" ht="21" customHeight="1">
      <c r="A28" s="55" t="s">
        <v>19</v>
      </c>
      <c r="B28" s="59" t="s">
        <v>821</v>
      </c>
    </row>
    <row r="29" spans="1:14" ht="39" customHeight="1">
      <c r="A29" s="55" t="s">
        <v>20</v>
      </c>
      <c r="B29" s="69" t="s">
        <v>822</v>
      </c>
    </row>
    <row r="30" spans="1:14" ht="21" customHeight="1">
      <c r="A30" s="55" t="s">
        <v>21</v>
      </c>
      <c r="B30" s="59" t="s">
        <v>823</v>
      </c>
    </row>
    <row r="31" spans="1:14" ht="21" customHeight="1">
      <c r="A31" s="55" t="s">
        <v>22</v>
      </c>
      <c r="B31" s="59" t="s">
        <v>824</v>
      </c>
    </row>
    <row r="32" spans="1:14" ht="21" customHeight="1">
      <c r="A32" s="55" t="s">
        <v>23</v>
      </c>
      <c r="B32" s="59" t="s">
        <v>825</v>
      </c>
    </row>
    <row r="33" spans="1:2" ht="21" customHeight="1">
      <c r="A33" s="85" t="s">
        <v>826</v>
      </c>
      <c r="B33" s="86"/>
    </row>
    <row r="34" spans="1:2">
      <c r="A34" s="47"/>
    </row>
    <row r="35" spans="1:2" ht="21" customHeight="1">
      <c r="A35" s="89" t="s">
        <v>827</v>
      </c>
      <c r="B35" s="90"/>
    </row>
    <row r="36" spans="1:2" ht="21" customHeight="1">
      <c r="A36" s="70" t="s">
        <v>828</v>
      </c>
      <c r="B36" s="71" t="s">
        <v>829</v>
      </c>
    </row>
    <row r="37" spans="1:2" ht="21" customHeight="1">
      <c r="A37" s="70" t="s">
        <v>830</v>
      </c>
      <c r="B37" s="71" t="s">
        <v>431</v>
      </c>
    </row>
    <row r="38" spans="1:2" ht="21" customHeight="1">
      <c r="A38" s="70" t="s">
        <v>831</v>
      </c>
      <c r="B38" s="71" t="s">
        <v>832</v>
      </c>
    </row>
    <row r="39" spans="1:2" ht="21" customHeight="1">
      <c r="A39" s="70" t="s">
        <v>833</v>
      </c>
      <c r="B39" s="71" t="s">
        <v>834</v>
      </c>
    </row>
    <row r="40" spans="1:2" ht="21" customHeight="1">
      <c r="A40" s="70" t="s">
        <v>835</v>
      </c>
      <c r="B40" s="71" t="s">
        <v>836</v>
      </c>
    </row>
    <row r="41" spans="1:2" ht="21" customHeight="1">
      <c r="A41" s="70" t="s">
        <v>837</v>
      </c>
      <c r="B41" s="71" t="s">
        <v>838</v>
      </c>
    </row>
    <row r="42" spans="1:2" ht="21" customHeight="1">
      <c r="A42" s="70" t="s">
        <v>839</v>
      </c>
      <c r="B42" s="71" t="s">
        <v>840</v>
      </c>
    </row>
    <row r="43" spans="1:2" ht="21" customHeight="1">
      <c r="A43" s="70" t="s">
        <v>841</v>
      </c>
      <c r="B43" s="71" t="s">
        <v>842</v>
      </c>
    </row>
    <row r="44" spans="1:2" ht="21" customHeight="1">
      <c r="A44" s="70" t="s">
        <v>843</v>
      </c>
      <c r="B44" s="71" t="s">
        <v>844</v>
      </c>
    </row>
    <row r="45" spans="1:2">
      <c r="A45" s="47"/>
    </row>
    <row r="46" spans="1:2" ht="21" customHeight="1">
      <c r="A46" s="81" t="s">
        <v>845</v>
      </c>
      <c r="B46" s="82"/>
    </row>
    <row r="47" spans="1:2" ht="21" customHeight="1">
      <c r="A47" s="72" t="s">
        <v>846</v>
      </c>
      <c r="B47" s="73" t="s">
        <v>847</v>
      </c>
    </row>
    <row r="48" spans="1:2" ht="21" customHeight="1">
      <c r="A48" s="72" t="s">
        <v>848</v>
      </c>
      <c r="B48" s="73" t="s">
        <v>849</v>
      </c>
    </row>
    <row r="49" spans="1:2" ht="21" customHeight="1">
      <c r="A49" s="72" t="s">
        <v>850</v>
      </c>
      <c r="B49" s="73" t="s">
        <v>851</v>
      </c>
    </row>
    <row r="50" spans="1:2" ht="21" customHeight="1">
      <c r="A50" s="72" t="s">
        <v>852</v>
      </c>
      <c r="B50" s="73" t="s">
        <v>853</v>
      </c>
    </row>
    <row r="51" spans="1:2">
      <c r="A51" s="47"/>
    </row>
    <row r="52" spans="1:2" ht="16.5">
      <c r="B52" s="49" t="s">
        <v>854</v>
      </c>
    </row>
    <row r="53" spans="1:2" ht="16.5">
      <c r="B53" s="49" t="s">
        <v>855</v>
      </c>
    </row>
    <row r="54" spans="1:2" ht="16.5">
      <c r="B54" s="74" t="s">
        <v>856</v>
      </c>
    </row>
    <row r="55" spans="1:2" ht="33">
      <c r="B55" s="74" t="s">
        <v>857</v>
      </c>
    </row>
    <row r="56" spans="1:2" ht="33">
      <c r="B56" s="74" t="s">
        <v>858</v>
      </c>
    </row>
    <row r="57" spans="1:2" ht="33">
      <c r="B57" s="75" t="s">
        <v>859</v>
      </c>
    </row>
    <row r="58" spans="1:2" ht="33">
      <c r="B58" s="76" t="s">
        <v>860</v>
      </c>
    </row>
    <row r="59" spans="1:2" ht="16.5">
      <c r="B59" s="74" t="s">
        <v>861</v>
      </c>
    </row>
    <row r="60" spans="1:2" ht="16.5" customHeight="1">
      <c r="B60" s="49" t="s">
        <v>862</v>
      </c>
    </row>
    <row r="61" spans="1:2" ht="16.5" customHeight="1">
      <c r="B61" s="77" t="s">
        <v>863</v>
      </c>
    </row>
    <row r="62" spans="1:2" ht="16.5" customHeight="1">
      <c r="B62" s="57" t="s">
        <v>864</v>
      </c>
    </row>
    <row r="63" spans="1:2" ht="33">
      <c r="B63" s="74" t="s">
        <v>865</v>
      </c>
    </row>
    <row r="64" spans="1:2" ht="16.5" customHeight="1">
      <c r="B64" s="49" t="s">
        <v>866</v>
      </c>
    </row>
    <row r="65" spans="2:2" ht="16.5">
      <c r="B65" s="49" t="s">
        <v>867</v>
      </c>
    </row>
    <row r="66" spans="2:2" ht="16.5">
      <c r="B66" s="49" t="s">
        <v>868</v>
      </c>
    </row>
    <row r="67" spans="2:2" ht="16.5">
      <c r="B67" s="49" t="s">
        <v>869</v>
      </c>
    </row>
    <row r="69" spans="2:2" ht="16.5">
      <c r="B69" s="49" t="s">
        <v>870</v>
      </c>
    </row>
    <row r="70" spans="2:2" ht="16.5">
      <c r="B70" s="57" t="s">
        <v>871</v>
      </c>
    </row>
    <row r="71" spans="2:2" ht="16.5">
      <c r="B71" s="49" t="s">
        <v>872</v>
      </c>
    </row>
    <row r="72" spans="2:2" ht="16.5">
      <c r="B72" s="49" t="s">
        <v>873</v>
      </c>
    </row>
  </sheetData>
  <mergeCells count="12">
    <mergeCell ref="M2:N2"/>
    <mergeCell ref="D4:D7"/>
    <mergeCell ref="A46:B46"/>
    <mergeCell ref="A2:B2"/>
    <mergeCell ref="D2:E3"/>
    <mergeCell ref="F2:H2"/>
    <mergeCell ref="J2:K2"/>
    <mergeCell ref="A8:B8"/>
    <mergeCell ref="F9:G9"/>
    <mergeCell ref="G11:G13"/>
    <mergeCell ref="A33:B33"/>
    <mergeCell ref="A35:B3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AAE7-E7C8-44F7-8258-DA096295A818}">
  <dimension ref="A1:D25"/>
  <sheetViews>
    <sheetView workbookViewId="0">
      <selection activeCell="D22" sqref="D22"/>
    </sheetView>
  </sheetViews>
  <sheetFormatPr defaultRowHeight="13.5"/>
  <cols>
    <col min="1" max="1" width="11" bestFit="1" customWidth="1"/>
    <col min="2" max="2" width="11" customWidth="1"/>
    <col min="3" max="3" width="31.6640625" bestFit="1" customWidth="1"/>
    <col min="4" max="4" width="16" bestFit="1" customWidth="1"/>
  </cols>
  <sheetData>
    <row r="1" spans="1:4" ht="16.5">
      <c r="A1" s="12" t="s">
        <v>762</v>
      </c>
      <c r="B1" s="12" t="s">
        <v>743</v>
      </c>
      <c r="C1" s="12" t="s">
        <v>763</v>
      </c>
      <c r="D1" s="12" t="s">
        <v>691</v>
      </c>
    </row>
    <row r="2" spans="1:4" ht="16.5">
      <c r="A2" s="12" t="s">
        <v>699</v>
      </c>
      <c r="B2" s="10" t="s">
        <v>745</v>
      </c>
      <c r="C2" s="10" t="s">
        <v>765</v>
      </c>
      <c r="D2" s="10" t="s">
        <v>702</v>
      </c>
    </row>
    <row r="3" spans="1:4" ht="16.5">
      <c r="A3" s="12" t="s">
        <v>700</v>
      </c>
      <c r="B3" s="10" t="s">
        <v>745</v>
      </c>
      <c r="C3" s="10" t="s">
        <v>766</v>
      </c>
      <c r="D3" s="10"/>
    </row>
    <row r="4" spans="1:4" ht="16.5">
      <c r="A4" s="12" t="s">
        <v>701</v>
      </c>
      <c r="B4" s="10" t="s">
        <v>745</v>
      </c>
      <c r="C4" s="10" t="s">
        <v>766</v>
      </c>
      <c r="D4" s="10" t="s">
        <v>710</v>
      </c>
    </row>
    <row r="5" spans="1:4" ht="16.5">
      <c r="A5" s="12" t="s">
        <v>705</v>
      </c>
      <c r="B5" s="10" t="s">
        <v>746</v>
      </c>
      <c r="C5" s="10" t="s">
        <v>706</v>
      </c>
      <c r="D5" s="10" t="s">
        <v>710</v>
      </c>
    </row>
    <row r="6" spans="1:4" ht="16.5">
      <c r="A6" s="12" t="s">
        <v>704</v>
      </c>
      <c r="B6" s="10" t="s">
        <v>746</v>
      </c>
      <c r="C6" s="10" t="s">
        <v>735</v>
      </c>
      <c r="D6" s="10" t="s">
        <v>711</v>
      </c>
    </row>
    <row r="7" spans="1:4" ht="16.5">
      <c r="A7" s="12" t="s">
        <v>707</v>
      </c>
      <c r="B7" s="10" t="s">
        <v>746</v>
      </c>
      <c r="C7" s="10" t="s">
        <v>708</v>
      </c>
      <c r="D7" s="10" t="s">
        <v>709</v>
      </c>
    </row>
    <row r="8" spans="1:4" ht="16.5">
      <c r="A8" s="12" t="s">
        <v>728</v>
      </c>
      <c r="B8" s="10" t="s">
        <v>746</v>
      </c>
      <c r="C8" s="10" t="s">
        <v>730</v>
      </c>
      <c r="D8" s="10" t="s">
        <v>729</v>
      </c>
    </row>
    <row r="9" spans="1:4" ht="16.5">
      <c r="A9" s="12" t="s">
        <v>712</v>
      </c>
      <c r="B9" s="10" t="s">
        <v>746</v>
      </c>
      <c r="C9" s="10" t="s">
        <v>714</v>
      </c>
      <c r="D9" s="10" t="s">
        <v>713</v>
      </c>
    </row>
    <row r="10" spans="1:4" ht="16.5">
      <c r="A10" s="12" t="s">
        <v>717</v>
      </c>
      <c r="B10" s="10" t="s">
        <v>746</v>
      </c>
      <c r="C10" s="10" t="s">
        <v>718</v>
      </c>
      <c r="D10" s="10" t="s">
        <v>719</v>
      </c>
    </row>
    <row r="11" spans="1:4" ht="16.5">
      <c r="A11" s="12" t="s">
        <v>723</v>
      </c>
      <c r="B11" s="10" t="s">
        <v>746</v>
      </c>
      <c r="C11" s="10" t="s">
        <v>721</v>
      </c>
      <c r="D11" s="10" t="s">
        <v>724</v>
      </c>
    </row>
    <row r="12" spans="1:4" ht="16.5">
      <c r="A12" s="12" t="s">
        <v>738</v>
      </c>
      <c r="B12" s="10" t="s">
        <v>746</v>
      </c>
      <c r="C12" s="10" t="s">
        <v>721</v>
      </c>
      <c r="D12" s="10" t="s">
        <v>739</v>
      </c>
    </row>
    <row r="13" spans="1:4" ht="16.5">
      <c r="A13" s="12" t="s">
        <v>720</v>
      </c>
      <c r="B13" s="10" t="s">
        <v>746</v>
      </c>
      <c r="C13" s="10" t="s">
        <v>726</v>
      </c>
      <c r="D13" s="10" t="s">
        <v>722</v>
      </c>
    </row>
    <row r="14" spans="1:4" ht="16.5">
      <c r="A14" s="12" t="s">
        <v>733</v>
      </c>
      <c r="B14" s="10" t="s">
        <v>746</v>
      </c>
      <c r="C14" s="10" t="s">
        <v>726</v>
      </c>
      <c r="D14" s="10" t="s">
        <v>734</v>
      </c>
    </row>
    <row r="15" spans="1:4" ht="16.5">
      <c r="A15" s="12" t="s">
        <v>731</v>
      </c>
      <c r="B15" s="10" t="s">
        <v>746</v>
      </c>
      <c r="C15" s="10" t="s">
        <v>726</v>
      </c>
      <c r="D15" s="10" t="s">
        <v>732</v>
      </c>
    </row>
    <row r="16" spans="1:4" ht="16.5">
      <c r="A16" s="12" t="s">
        <v>736</v>
      </c>
      <c r="B16" s="10" t="s">
        <v>746</v>
      </c>
      <c r="C16" s="10" t="s">
        <v>726</v>
      </c>
      <c r="D16" s="10" t="s">
        <v>737</v>
      </c>
    </row>
    <row r="17" spans="1:4" ht="16.5">
      <c r="A17" s="12" t="s">
        <v>725</v>
      </c>
      <c r="B17" s="10" t="s">
        <v>746</v>
      </c>
      <c r="C17" s="10" t="s">
        <v>726</v>
      </c>
      <c r="D17" s="10" t="s">
        <v>727</v>
      </c>
    </row>
    <row r="18" spans="1:4" ht="16.5">
      <c r="A18" s="12" t="s">
        <v>715</v>
      </c>
      <c r="B18" s="10" t="s">
        <v>746</v>
      </c>
      <c r="C18" s="10" t="s">
        <v>716</v>
      </c>
      <c r="D18" s="10" t="s">
        <v>703</v>
      </c>
    </row>
    <row r="19" spans="1:4" ht="16.5">
      <c r="A19" s="12" t="s">
        <v>740</v>
      </c>
      <c r="B19" s="10" t="s">
        <v>689</v>
      </c>
      <c r="C19" s="10" t="s">
        <v>742</v>
      </c>
      <c r="D19" s="10" t="s">
        <v>741</v>
      </c>
    </row>
    <row r="20" spans="1:4" ht="16.5">
      <c r="A20" s="12" t="s">
        <v>698</v>
      </c>
      <c r="B20" s="10" t="s">
        <v>744</v>
      </c>
      <c r="C20" s="10" t="s">
        <v>697</v>
      </c>
      <c r="D20" s="10"/>
    </row>
    <row r="21" spans="1:4" ht="16.5">
      <c r="A21" s="12" t="s">
        <v>696</v>
      </c>
      <c r="B21" s="10" t="s">
        <v>744</v>
      </c>
      <c r="C21" s="10" t="s">
        <v>697</v>
      </c>
      <c r="D21" s="10"/>
    </row>
    <row r="22" spans="1:4" ht="16.5">
      <c r="A22" s="12" t="s">
        <v>878</v>
      </c>
      <c r="B22" s="10" t="s">
        <v>744</v>
      </c>
      <c r="C22" s="10" t="s">
        <v>879</v>
      </c>
      <c r="D22" s="10"/>
    </row>
    <row r="23" spans="1:4" ht="16.5">
      <c r="A23" s="12" t="s">
        <v>695</v>
      </c>
      <c r="B23" s="10" t="s">
        <v>744</v>
      </c>
      <c r="C23" s="10" t="s">
        <v>880</v>
      </c>
      <c r="D23" s="10"/>
    </row>
    <row r="24" spans="1:4" ht="16.5">
      <c r="A24" s="12" t="s">
        <v>690</v>
      </c>
      <c r="B24" s="10" t="s">
        <v>744</v>
      </c>
      <c r="C24" s="10" t="s">
        <v>764</v>
      </c>
      <c r="D24" s="10"/>
    </row>
    <row r="25" spans="1:4" ht="16.5">
      <c r="A25" s="12" t="s">
        <v>692</v>
      </c>
      <c r="B25" s="10" t="s">
        <v>744</v>
      </c>
      <c r="C25" s="10" t="s">
        <v>693</v>
      </c>
      <c r="D25" s="10" t="s">
        <v>694</v>
      </c>
    </row>
  </sheetData>
  <autoFilter ref="A1:D1" xr:uid="{AB07AAE7-E7C8-44F7-8258-DA096295A818}">
    <sortState xmlns:xlrd2="http://schemas.microsoft.com/office/spreadsheetml/2017/richdata2" ref="A2:D25">
      <sortCondition ref="B1"/>
    </sortState>
  </autoFilter>
  <phoneticPr fontId="16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7F2C-3BFF-433F-AF4C-5EB97AFCC9F0}">
  <dimension ref="A1:B9"/>
  <sheetViews>
    <sheetView workbookViewId="0">
      <selection activeCell="C9" sqref="C9"/>
    </sheetView>
  </sheetViews>
  <sheetFormatPr defaultRowHeight="13.5"/>
  <cols>
    <col min="2" max="2" width="10.6640625" bestFit="1" customWidth="1"/>
  </cols>
  <sheetData>
    <row r="1" spans="1:2" ht="16.5">
      <c r="A1" s="12" t="s">
        <v>25</v>
      </c>
      <c r="B1" s="12" t="s">
        <v>747</v>
      </c>
    </row>
    <row r="2" spans="1:2" ht="16.5">
      <c r="A2" s="10" t="s">
        <v>748</v>
      </c>
      <c r="B2" s="10" t="s">
        <v>749</v>
      </c>
    </row>
    <row r="3" spans="1:2" ht="16.5">
      <c r="A3" s="10" t="s">
        <v>752</v>
      </c>
      <c r="B3" s="10" t="s">
        <v>749</v>
      </c>
    </row>
    <row r="4" spans="1:2" ht="16.5">
      <c r="A4" s="10" t="s">
        <v>760</v>
      </c>
      <c r="B4" s="10" t="s">
        <v>761</v>
      </c>
    </row>
    <row r="5" spans="1:2" ht="16.5">
      <c r="A5" s="10" t="s">
        <v>756</v>
      </c>
      <c r="B5" s="10" t="s">
        <v>757</v>
      </c>
    </row>
    <row r="6" spans="1:2" ht="16.5">
      <c r="A6" s="10" t="s">
        <v>758</v>
      </c>
      <c r="B6" s="10" t="s">
        <v>759</v>
      </c>
    </row>
    <row r="7" spans="1:2" ht="16.5">
      <c r="A7" s="10" t="s">
        <v>753</v>
      </c>
      <c r="B7" s="10" t="s">
        <v>754</v>
      </c>
    </row>
    <row r="8" spans="1:2" ht="16.5">
      <c r="A8" s="10" t="s">
        <v>755</v>
      </c>
      <c r="B8" s="10" t="s">
        <v>754</v>
      </c>
    </row>
    <row r="9" spans="1:2" ht="16.5">
      <c r="A9" s="10" t="s">
        <v>750</v>
      </c>
      <c r="B9" s="10" t="s">
        <v>751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삼국지장수</vt:lpstr>
      <vt:lpstr>수호전장수</vt:lpstr>
      <vt:lpstr>매뉴얼</vt:lpstr>
      <vt:lpstr>보물</vt:lpstr>
      <vt:lpstr>방문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</dc:creator>
  <cp:lastModifiedBy>Jaehoon Jang</cp:lastModifiedBy>
  <dcterms:created xsi:type="dcterms:W3CDTF">1997-01-10T04:21:27Z</dcterms:created>
  <dcterms:modified xsi:type="dcterms:W3CDTF">2023-11-26T23:01:21Z</dcterms:modified>
</cp:coreProperties>
</file>